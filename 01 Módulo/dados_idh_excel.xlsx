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mandaNascimento\Documents\MEGA\4. EDUCAÇÃO\ELAS + TECH\1- Desmistificando Dados\"/>
    </mc:Choice>
  </mc:AlternateContent>
  <xr:revisionPtr revIDLastSave="0" documentId="13_ncr:1_{4BFF551F-05C4-416B-AB34-F67809FFE4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osta" sheetId="1" r:id="rId1"/>
    <sheet name="Desenvolvimento" sheetId="2" r:id="rId2"/>
    <sheet name="País - Continente" sheetId="3" r:id="rId3"/>
  </sheets>
  <definedNames>
    <definedName name="_xlnm._FilterDatabase" localSheetId="0" hidden="1">Resposta!$A$1:$E$194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  <c r="H10" i="1"/>
  <c r="H19" i="1" s="1"/>
  <c r="I19" i="1" s="1"/>
  <c r="H5" i="1"/>
  <c r="H6" i="1"/>
  <c r="H2" i="1"/>
  <c r="H7" i="1"/>
  <c r="H3" i="1"/>
  <c r="H4" i="1"/>
  <c r="H17" i="1" l="1"/>
  <c r="I17" i="1" s="1"/>
  <c r="H15" i="1"/>
  <c r="I15" i="1" s="1"/>
  <c r="H18" i="1"/>
  <c r="I18" i="1" s="1"/>
  <c r="H14" i="1"/>
  <c r="I14" i="1" s="1"/>
  <c r="H16" i="1"/>
  <c r="I16" i="1" s="1"/>
</calcChain>
</file>

<file path=xl/sharedStrings.xml><?xml version="1.0" encoding="utf-8"?>
<sst xmlns="http://schemas.openxmlformats.org/spreadsheetml/2006/main" count="995" uniqueCount="210">
  <si>
    <t>Continente</t>
  </si>
  <si>
    <t>País</t>
  </si>
  <si>
    <t>IDH</t>
  </si>
  <si>
    <t>Anos de escolaridade (médio)</t>
  </si>
  <si>
    <t>PIB per Capita ($)</t>
  </si>
  <si>
    <t>Oceania</t>
  </si>
  <si>
    <t>Asia</t>
  </si>
  <si>
    <t>Brazil</t>
  </si>
  <si>
    <t>Africa</t>
  </si>
  <si>
    <t>China</t>
  </si>
  <si>
    <t>South America</t>
  </si>
  <si>
    <t>Nauru</t>
  </si>
  <si>
    <t>Europe</t>
  </si>
  <si>
    <t>Montserrat</t>
  </si>
  <si>
    <t>Antarctica</t>
  </si>
  <si>
    <t>North America</t>
  </si>
  <si>
    <t>Thailand</t>
  </si>
  <si>
    <t>Palau</t>
  </si>
  <si>
    <t>Gibraltar</t>
  </si>
  <si>
    <t>Peru</t>
  </si>
  <si>
    <t>Guam</t>
  </si>
  <si>
    <t>Norway</t>
  </si>
  <si>
    <t>Croatia</t>
  </si>
  <si>
    <t>Oman</t>
  </si>
  <si>
    <t>Bahrain</t>
  </si>
  <si>
    <t>Comoros</t>
  </si>
  <si>
    <t>Lesotho</t>
  </si>
  <si>
    <t>Grenada</t>
  </si>
  <si>
    <t>India</t>
  </si>
  <si>
    <t>Togo</t>
  </si>
  <si>
    <t>Bulgaria</t>
  </si>
  <si>
    <t>Rwanda</t>
  </si>
  <si>
    <t>Indonesia</t>
  </si>
  <si>
    <t>Liberia</t>
  </si>
  <si>
    <t>Northern Mariana Islands</t>
  </si>
  <si>
    <t>American Samoa</t>
  </si>
  <si>
    <t>Kiribati</t>
  </si>
  <si>
    <t>Cyprus</t>
  </si>
  <si>
    <t>New Caledonia</t>
  </si>
  <si>
    <t>Aruba</t>
  </si>
  <si>
    <t>Libya</t>
  </si>
  <si>
    <t>Gambia</t>
  </si>
  <si>
    <t>Bangladesh</t>
  </si>
  <si>
    <t>Italy</t>
  </si>
  <si>
    <t>Estonia</t>
  </si>
  <si>
    <t>Bhutan</t>
  </si>
  <si>
    <t>Ghana</t>
  </si>
  <si>
    <t>Madagascar</t>
  </si>
  <si>
    <t>Japan</t>
  </si>
  <si>
    <t>Curaçao</t>
  </si>
  <si>
    <t>Czechia</t>
  </si>
  <si>
    <t>Cabo Verde</t>
  </si>
  <si>
    <t>Bahamas</t>
  </si>
  <si>
    <t>Namibia</t>
  </si>
  <si>
    <t>Saint Lucia</t>
  </si>
  <si>
    <t>Spain</t>
  </si>
  <si>
    <t>Seychelles</t>
  </si>
  <si>
    <t>El Salvador</t>
  </si>
  <si>
    <t>Turkmenistan</t>
  </si>
  <si>
    <t>Guernsey</t>
  </si>
  <si>
    <t>Sint Maarten (Dutch part)</t>
  </si>
  <si>
    <t>Mauritius</t>
  </si>
  <si>
    <t>Finland</t>
  </si>
  <si>
    <t>Algeria</t>
  </si>
  <si>
    <t>Lebanon</t>
  </si>
  <si>
    <t>Wallis and Futuna</t>
  </si>
  <si>
    <t>French Polynesia</t>
  </si>
  <si>
    <t>Malaysia</t>
  </si>
  <si>
    <t>Kyrgyzstan</t>
  </si>
  <si>
    <t>Equatorial Guinea</t>
  </si>
  <si>
    <t>Cocos (Keeling) Islands</t>
  </si>
  <si>
    <t>Bouvet Island</t>
  </si>
  <si>
    <t>Gabon</t>
  </si>
  <si>
    <t>Paraguay</t>
  </si>
  <si>
    <t>Central African Republic</t>
  </si>
  <si>
    <t>Eritrea</t>
  </si>
  <si>
    <t>United Arab Emirates</t>
  </si>
  <si>
    <t>Djibouti</t>
  </si>
  <si>
    <t>Mali</t>
  </si>
  <si>
    <t>Somalia</t>
  </si>
  <si>
    <t>Sri Lanka</t>
  </si>
  <si>
    <t>Marshall Islands</t>
  </si>
  <si>
    <t>Uruguay</t>
  </si>
  <si>
    <t>Niue</t>
  </si>
  <si>
    <t>Zambia</t>
  </si>
  <si>
    <t>Afghanistan</t>
  </si>
  <si>
    <t>Burkina Faso</t>
  </si>
  <si>
    <t>Sierra Leone</t>
  </si>
  <si>
    <t>Germany</t>
  </si>
  <si>
    <t>Senegal</t>
  </si>
  <si>
    <t>Ireland</t>
  </si>
  <si>
    <t>Guinea-Bissau</t>
  </si>
  <si>
    <t>Congo</t>
  </si>
  <si>
    <t>Serbia</t>
  </si>
  <si>
    <t>Ethiopia</t>
  </si>
  <si>
    <t>Cameroon</t>
  </si>
  <si>
    <t>Singapore</t>
  </si>
  <si>
    <t>Andorra</t>
  </si>
  <si>
    <t>Belarus</t>
  </si>
  <si>
    <t>Timor-Leste</t>
  </si>
  <si>
    <t>Haiti</t>
  </si>
  <si>
    <t>Martinique</t>
  </si>
  <si>
    <t>Greece</t>
  </si>
  <si>
    <t>Western Sahara</t>
  </si>
  <si>
    <t>Sudan</t>
  </si>
  <si>
    <t>Cuba</t>
  </si>
  <si>
    <t>Bermuda</t>
  </si>
  <si>
    <t>Saint Martin (French part)</t>
  </si>
  <si>
    <t>Botswana</t>
  </si>
  <si>
    <t>Papua New Guinea</t>
  </si>
  <si>
    <t>Christmas Island</t>
  </si>
  <si>
    <t>Greenland</t>
  </si>
  <si>
    <t>Austria</t>
  </si>
  <si>
    <t>Saint Vincent and the Grenadines</t>
  </si>
  <si>
    <t>Pakistan</t>
  </si>
  <si>
    <t>Panama</t>
  </si>
  <si>
    <t>Guatemala</t>
  </si>
  <si>
    <t>Brunei Darussalam</t>
  </si>
  <si>
    <t>Iraq</t>
  </si>
  <si>
    <t>United States</t>
  </si>
  <si>
    <t>South Africa</t>
  </si>
  <si>
    <t>Armenia</t>
  </si>
  <si>
    <t>Nigeria</t>
  </si>
  <si>
    <t>Nicaragua</t>
  </si>
  <si>
    <t>Guinea</t>
  </si>
  <si>
    <t>Turkey</t>
  </si>
  <si>
    <t>San Marino</t>
  </si>
  <si>
    <t>Norfolk Island</t>
  </si>
  <si>
    <t>Dominican Republic</t>
  </si>
  <si>
    <t>United States Minor Outlying Islands</t>
  </si>
  <si>
    <t>Antigua and Barbuda</t>
  </si>
  <si>
    <t>Burundi</t>
  </si>
  <si>
    <t>Tonga</t>
  </si>
  <si>
    <t>French Guiana</t>
  </si>
  <si>
    <t>Jamaica</t>
  </si>
  <si>
    <t>Mexico</t>
  </si>
  <si>
    <t>France</t>
  </si>
  <si>
    <t>South Georgia and the South Sandwich Islands</t>
  </si>
  <si>
    <t>Tajikistan</t>
  </si>
  <si>
    <t>Samoa</t>
  </si>
  <si>
    <t>Slovenia</t>
  </si>
  <si>
    <t>Romania</t>
  </si>
  <si>
    <t>French Southern Territories</t>
  </si>
  <si>
    <t>Luxembourg</t>
  </si>
  <si>
    <t>Netherlands</t>
  </si>
  <si>
    <t>Sao Tome and Principe</t>
  </si>
  <si>
    <t>Argentina</t>
  </si>
  <si>
    <t>Ecuador</t>
  </si>
  <si>
    <t>Uganda</t>
  </si>
  <si>
    <t>Colombia</t>
  </si>
  <si>
    <t>Niger</t>
  </si>
  <si>
    <t>Morocco</t>
  </si>
  <si>
    <t>Viet Nam</t>
  </si>
  <si>
    <t>Tokelau</t>
  </si>
  <si>
    <t>Côte d'Ivoire</t>
  </si>
  <si>
    <t>Australia</t>
  </si>
  <si>
    <t>South Sudan</t>
  </si>
  <si>
    <t>Turks and Caicos Islands</t>
  </si>
  <si>
    <t>Saint Pierre and Miquelon</t>
  </si>
  <si>
    <t>Belize</t>
  </si>
  <si>
    <t>Saint Kitts and Nevis</t>
  </si>
  <si>
    <t>Solomon Islands</t>
  </si>
  <si>
    <t>Slovakia</t>
  </si>
  <si>
    <t>Uzbekistan</t>
  </si>
  <si>
    <t>Fiji</t>
  </si>
  <si>
    <t>Isle of Man</t>
  </si>
  <si>
    <t>Nepal</t>
  </si>
  <si>
    <t>Kazakhstan</t>
  </si>
  <si>
    <t>Eswatini</t>
  </si>
  <si>
    <t>Lithuania</t>
  </si>
  <si>
    <t>Hong Kong</t>
  </si>
  <si>
    <t>Saint Barthélemy</t>
  </si>
  <si>
    <t>New Zealand</t>
  </si>
  <si>
    <t>Jordan</t>
  </si>
  <si>
    <t>Dominica</t>
  </si>
  <si>
    <t>Zimbabwe</t>
  </si>
  <si>
    <t>Trinidad and Tobago</t>
  </si>
  <si>
    <t>Svalbard and Jan Mayen</t>
  </si>
  <si>
    <t>Myanmar</t>
  </si>
  <si>
    <t>Tuvalu</t>
  </si>
  <si>
    <t>Cayman Islands</t>
  </si>
  <si>
    <t>Saudi Arabia</t>
  </si>
  <si>
    <t>North Macedonia</t>
  </si>
  <si>
    <t>Honduras</t>
  </si>
  <si>
    <t>Malta</t>
  </si>
  <si>
    <t>Israel</t>
  </si>
  <si>
    <t>Falkland Islands (Malvinas)</t>
  </si>
  <si>
    <t>Barbados</t>
  </si>
  <si>
    <t>Guadeloupe</t>
  </si>
  <si>
    <t>Bolivia</t>
  </si>
  <si>
    <t>Korea</t>
  </si>
  <si>
    <t>Moldova</t>
  </si>
  <si>
    <t>Virgin Island</t>
  </si>
  <si>
    <t>Palestine</t>
  </si>
  <si>
    <t>Taiwan</t>
  </si>
  <si>
    <t>Venezuela</t>
  </si>
  <si>
    <t>Iran</t>
  </si>
  <si>
    <t>Virgin Islands</t>
  </si>
  <si>
    <t>Bonaire</t>
  </si>
  <si>
    <t>Micronesia</t>
  </si>
  <si>
    <t>Poland</t>
  </si>
  <si>
    <t>Tanzania</t>
  </si>
  <si>
    <t>Aland Islands</t>
  </si>
  <si>
    <t>Switzerland</t>
  </si>
  <si>
    <t>Switzerland.</t>
  </si>
  <si>
    <t>IDH Médio</t>
  </si>
  <si>
    <t>Média Global</t>
  </si>
  <si>
    <t>nº países &gt; média global</t>
  </si>
  <si>
    <t>Qtd Países</t>
  </si>
  <si>
    <t>% &gt; média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</si>
</sst>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0"/>
    <numFmt numFmtId="17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0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4" fillId="0" borderId="0" xfId="0" applyFont="1" applyAlignment="1">
      <alignment horizontal="center" vertical="center"/>
    </xf>
    <xf numFmtId="170" fontId="4" fillId="0" borderId="0" xfId="0" applyNumberFormat="1" applyFont="1"/>
    <xf numFmtId="170" fontId="0" fillId="0" borderId="0" xfId="0" applyNumberFormat="1" applyBorder="1"/>
    <xf numFmtId="170" fontId="0" fillId="0" borderId="6" xfId="0" applyNumberFormat="1" applyBorder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/>
    <xf numFmtId="174" fontId="0" fillId="0" borderId="0" xfId="1" applyNumberFormat="1" applyFont="1"/>
    <xf numFmtId="1" fontId="0" fillId="0" borderId="0" xfId="0" applyNumberFormat="1" applyBorder="1"/>
    <xf numFmtId="174" fontId="0" fillId="0" borderId="3" xfId="1" applyNumberFormat="1" applyFont="1" applyBorder="1"/>
    <xf numFmtId="1" fontId="0" fillId="0" borderId="6" xfId="0" applyNumberFormat="1" applyBorder="1"/>
    <xf numFmtId="174" fontId="0" fillId="0" borderId="5" xfId="1" applyNumberFormat="1" applyFont="1" applyBorder="1"/>
    <xf numFmtId="0" fontId="4" fillId="0" borderId="9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IDH vs Escolaridade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Resposta!$D$2:$D$194</c:f>
              <c:numCache>
                <c:formatCode>General</c:formatCode>
                <c:ptCount val="193"/>
                <c:pt idx="0">
                  <c:v>10.3</c:v>
                </c:pt>
                <c:pt idx="1">
                  <c:v>12.3</c:v>
                </c:pt>
                <c:pt idx="2">
                  <c:v>12.2</c:v>
                </c:pt>
                <c:pt idx="3">
                  <c:v>13.1</c:v>
                </c:pt>
                <c:pt idx="4">
                  <c:v>10.6</c:v>
                </c:pt>
                <c:pt idx="5">
                  <c:v>12.4</c:v>
                </c:pt>
                <c:pt idx="6">
                  <c:v>9.3000000000000007</c:v>
                </c:pt>
                <c:pt idx="7">
                  <c:v>8.6999999999999993</c:v>
                </c:pt>
                <c:pt idx="8">
                  <c:v>9.9</c:v>
                </c:pt>
                <c:pt idx="9">
                  <c:v>12.9</c:v>
                </c:pt>
                <c:pt idx="10">
                  <c:v>8.8000000000000007</c:v>
                </c:pt>
                <c:pt idx="11">
                  <c:v>9.4</c:v>
                </c:pt>
                <c:pt idx="12">
                  <c:v>12.4</c:v>
                </c:pt>
                <c:pt idx="13">
                  <c:v>12.5</c:v>
                </c:pt>
                <c:pt idx="14">
                  <c:v>13.1</c:v>
                </c:pt>
                <c:pt idx="15">
                  <c:v>5.3</c:v>
                </c:pt>
                <c:pt idx="16">
                  <c:v>10.8</c:v>
                </c:pt>
                <c:pt idx="17">
                  <c:v>6.4</c:v>
                </c:pt>
                <c:pt idx="18">
                  <c:v>10.4</c:v>
                </c:pt>
                <c:pt idx="19">
                  <c:v>12.3</c:v>
                </c:pt>
                <c:pt idx="20">
                  <c:v>14.1</c:v>
                </c:pt>
                <c:pt idx="21">
                  <c:v>7.3</c:v>
                </c:pt>
                <c:pt idx="22">
                  <c:v>9.6999999999999993</c:v>
                </c:pt>
                <c:pt idx="23">
                  <c:v>11</c:v>
                </c:pt>
                <c:pt idx="24">
                  <c:v>13.7</c:v>
                </c:pt>
                <c:pt idx="25">
                  <c:v>13.6</c:v>
                </c:pt>
                <c:pt idx="26">
                  <c:v>9.9</c:v>
                </c:pt>
                <c:pt idx="27">
                  <c:v>13.4</c:v>
                </c:pt>
                <c:pt idx="28">
                  <c:v>11</c:v>
                </c:pt>
                <c:pt idx="29">
                  <c:v>9.6999999999999993</c:v>
                </c:pt>
                <c:pt idx="30">
                  <c:v>12.4</c:v>
                </c:pt>
                <c:pt idx="31">
                  <c:v>9.6999999999999993</c:v>
                </c:pt>
                <c:pt idx="32">
                  <c:v>6</c:v>
                </c:pt>
                <c:pt idx="33">
                  <c:v>11.6</c:v>
                </c:pt>
                <c:pt idx="34">
                  <c:v>12.4</c:v>
                </c:pt>
                <c:pt idx="35">
                  <c:v>10.3</c:v>
                </c:pt>
                <c:pt idx="36">
                  <c:v>10.8</c:v>
                </c:pt>
                <c:pt idx="37">
                  <c:v>10</c:v>
                </c:pt>
                <c:pt idx="38">
                  <c:v>13.8</c:v>
                </c:pt>
                <c:pt idx="39">
                  <c:v>10.3</c:v>
                </c:pt>
                <c:pt idx="40">
                  <c:v>8.6999999999999993</c:v>
                </c:pt>
                <c:pt idx="41">
                  <c:v>7.6</c:v>
                </c:pt>
                <c:pt idx="42">
                  <c:v>13.4</c:v>
                </c:pt>
                <c:pt idx="43">
                  <c:v>10.5</c:v>
                </c:pt>
                <c:pt idx="44">
                  <c:v>12.6</c:v>
                </c:pt>
                <c:pt idx="45">
                  <c:v>12.9</c:v>
                </c:pt>
                <c:pt idx="46">
                  <c:v>12.1</c:v>
                </c:pt>
                <c:pt idx="47">
                  <c:v>11.9</c:v>
                </c:pt>
                <c:pt idx="48">
                  <c:v>8.6999999999999993</c:v>
                </c:pt>
                <c:pt idx="49">
                  <c:v>9.4</c:v>
                </c:pt>
                <c:pt idx="50">
                  <c:v>9.3000000000000007</c:v>
                </c:pt>
                <c:pt idx="51">
                  <c:v>11.5</c:v>
                </c:pt>
                <c:pt idx="52">
                  <c:v>11.6</c:v>
                </c:pt>
                <c:pt idx="53">
                  <c:v>11.2</c:v>
                </c:pt>
                <c:pt idx="54">
                  <c:v>12.5</c:v>
                </c:pt>
                <c:pt idx="55">
                  <c:v>7</c:v>
                </c:pt>
                <c:pt idx="56">
                  <c:v>10.1</c:v>
                </c:pt>
                <c:pt idx="57">
                  <c:v>5.6</c:v>
                </c:pt>
                <c:pt idx="58">
                  <c:v>8.1</c:v>
                </c:pt>
                <c:pt idx="59">
                  <c:v>11.9</c:v>
                </c:pt>
                <c:pt idx="60">
                  <c:v>8.9</c:v>
                </c:pt>
                <c:pt idx="61">
                  <c:v>9.4</c:v>
                </c:pt>
                <c:pt idx="62">
                  <c:v>12.3</c:v>
                </c:pt>
                <c:pt idx="63">
                  <c:v>10.3</c:v>
                </c:pt>
                <c:pt idx="64">
                  <c:v>11.3</c:v>
                </c:pt>
                <c:pt idx="65">
                  <c:v>12.8</c:v>
                </c:pt>
                <c:pt idx="66">
                  <c:v>11.1</c:v>
                </c:pt>
                <c:pt idx="67">
                  <c:v>12.6</c:v>
                </c:pt>
                <c:pt idx="68">
                  <c:v>12.8</c:v>
                </c:pt>
                <c:pt idx="69">
                  <c:v>10.3</c:v>
                </c:pt>
                <c:pt idx="70">
                  <c:v>9.5</c:v>
                </c:pt>
                <c:pt idx="71">
                  <c:v>13.1</c:v>
                </c:pt>
                <c:pt idx="72">
                  <c:v>5.9</c:v>
                </c:pt>
                <c:pt idx="73">
                  <c:v>12.7</c:v>
                </c:pt>
                <c:pt idx="74">
                  <c:v>10.1</c:v>
                </c:pt>
                <c:pt idx="75">
                  <c:v>12</c:v>
                </c:pt>
                <c:pt idx="76">
                  <c:v>9.6999999999999993</c:v>
                </c:pt>
                <c:pt idx="77">
                  <c:v>10.9</c:v>
                </c:pt>
                <c:pt idx="78">
                  <c:v>9.9</c:v>
                </c:pt>
                <c:pt idx="79">
                  <c:v>7.4</c:v>
                </c:pt>
                <c:pt idx="80">
                  <c:v>7.4</c:v>
                </c:pt>
                <c:pt idx="81">
                  <c:v>13.6</c:v>
                </c:pt>
                <c:pt idx="82">
                  <c:v>12.7</c:v>
                </c:pt>
                <c:pt idx="83">
                  <c:v>8.4</c:v>
                </c:pt>
                <c:pt idx="84">
                  <c:v>8.5</c:v>
                </c:pt>
                <c:pt idx="85">
                  <c:v>9.9</c:v>
                </c:pt>
                <c:pt idx="86">
                  <c:v>8.1999999999999993</c:v>
                </c:pt>
                <c:pt idx="87">
                  <c:v>4.4000000000000004</c:v>
                </c:pt>
                <c:pt idx="88">
                  <c:v>13.1</c:v>
                </c:pt>
                <c:pt idx="89">
                  <c:v>9.6999999999999993</c:v>
                </c:pt>
                <c:pt idx="90">
                  <c:v>12.5</c:v>
                </c:pt>
                <c:pt idx="91">
                  <c:v>8</c:v>
                </c:pt>
                <c:pt idx="92">
                  <c:v>7.5</c:v>
                </c:pt>
                <c:pt idx="93">
                  <c:v>12.8</c:v>
                </c:pt>
                <c:pt idx="94">
                  <c:v>13.1</c:v>
                </c:pt>
                <c:pt idx="95">
                  <c:v>11.9</c:v>
                </c:pt>
                <c:pt idx="96">
                  <c:v>11.7</c:v>
                </c:pt>
                <c:pt idx="97">
                  <c:v>11.6</c:v>
                </c:pt>
                <c:pt idx="98">
                  <c:v>12.7</c:v>
                </c:pt>
                <c:pt idx="99">
                  <c:v>13.3</c:v>
                </c:pt>
                <c:pt idx="100">
                  <c:v>13</c:v>
                </c:pt>
                <c:pt idx="101">
                  <c:v>7.8</c:v>
                </c:pt>
                <c:pt idx="102">
                  <c:v>9.6999999999999993</c:v>
                </c:pt>
                <c:pt idx="103">
                  <c:v>12.3</c:v>
                </c:pt>
                <c:pt idx="104">
                  <c:v>11.9</c:v>
                </c:pt>
                <c:pt idx="105">
                  <c:v>9.3000000000000007</c:v>
                </c:pt>
                <c:pt idx="106">
                  <c:v>6.7</c:v>
                </c:pt>
                <c:pt idx="107">
                  <c:v>10.7</c:v>
                </c:pt>
                <c:pt idx="108">
                  <c:v>9.6999999999999993</c:v>
                </c:pt>
                <c:pt idx="109">
                  <c:v>11.9</c:v>
                </c:pt>
                <c:pt idx="110">
                  <c:v>9.1999999999999993</c:v>
                </c:pt>
                <c:pt idx="111">
                  <c:v>5.9</c:v>
                </c:pt>
                <c:pt idx="112">
                  <c:v>12.4</c:v>
                </c:pt>
                <c:pt idx="113">
                  <c:v>12.8</c:v>
                </c:pt>
                <c:pt idx="114">
                  <c:v>8.3000000000000007</c:v>
                </c:pt>
                <c:pt idx="115">
                  <c:v>6.2</c:v>
                </c:pt>
                <c:pt idx="116">
                  <c:v>12.4</c:v>
                </c:pt>
                <c:pt idx="117">
                  <c:v>14.1</c:v>
                </c:pt>
                <c:pt idx="118">
                  <c:v>7.4</c:v>
                </c:pt>
                <c:pt idx="119">
                  <c:v>9.3000000000000007</c:v>
                </c:pt>
                <c:pt idx="120">
                  <c:v>14</c:v>
                </c:pt>
                <c:pt idx="121">
                  <c:v>7.9</c:v>
                </c:pt>
                <c:pt idx="122">
                  <c:v>8.9</c:v>
                </c:pt>
                <c:pt idx="123">
                  <c:v>8.8000000000000007</c:v>
                </c:pt>
                <c:pt idx="124">
                  <c:v>10.199999999999999</c:v>
                </c:pt>
                <c:pt idx="125">
                  <c:v>10.5</c:v>
                </c:pt>
                <c:pt idx="126">
                  <c:v>10.3</c:v>
                </c:pt>
                <c:pt idx="127">
                  <c:v>5.8</c:v>
                </c:pt>
                <c:pt idx="128">
                  <c:v>12.9</c:v>
                </c:pt>
                <c:pt idx="129">
                  <c:v>13.3</c:v>
                </c:pt>
                <c:pt idx="130">
                  <c:v>13.4</c:v>
                </c:pt>
                <c:pt idx="131">
                  <c:v>10.6</c:v>
                </c:pt>
                <c:pt idx="132">
                  <c:v>12.5</c:v>
                </c:pt>
                <c:pt idx="133">
                  <c:v>12.3</c:v>
                </c:pt>
                <c:pt idx="134">
                  <c:v>9.6</c:v>
                </c:pt>
                <c:pt idx="135">
                  <c:v>10</c:v>
                </c:pt>
                <c:pt idx="136">
                  <c:v>11.7</c:v>
                </c:pt>
                <c:pt idx="137">
                  <c:v>13.5</c:v>
                </c:pt>
                <c:pt idx="138">
                  <c:v>8.3000000000000007</c:v>
                </c:pt>
                <c:pt idx="139">
                  <c:v>13.6</c:v>
                </c:pt>
                <c:pt idx="140">
                  <c:v>7.4</c:v>
                </c:pt>
                <c:pt idx="141">
                  <c:v>7.2</c:v>
                </c:pt>
                <c:pt idx="142">
                  <c:v>12</c:v>
                </c:pt>
                <c:pt idx="143">
                  <c:v>9.5</c:v>
                </c:pt>
                <c:pt idx="144">
                  <c:v>8.4</c:v>
                </c:pt>
                <c:pt idx="145">
                  <c:v>10.199999999999999</c:v>
                </c:pt>
                <c:pt idx="146">
                  <c:v>8.9</c:v>
                </c:pt>
                <c:pt idx="147">
                  <c:v>9.6999999999999993</c:v>
                </c:pt>
                <c:pt idx="148">
                  <c:v>8.1999999999999993</c:v>
                </c:pt>
                <c:pt idx="149">
                  <c:v>8.4</c:v>
                </c:pt>
                <c:pt idx="150">
                  <c:v>10.199999999999999</c:v>
                </c:pt>
                <c:pt idx="151">
                  <c:v>11.2</c:v>
                </c:pt>
                <c:pt idx="152">
                  <c:v>12.4</c:v>
                </c:pt>
                <c:pt idx="153">
                  <c:v>10.7</c:v>
                </c:pt>
                <c:pt idx="154">
                  <c:v>10.5</c:v>
                </c:pt>
                <c:pt idx="155">
                  <c:v>11.4</c:v>
                </c:pt>
                <c:pt idx="156">
                  <c:v>8.5</c:v>
                </c:pt>
                <c:pt idx="157">
                  <c:v>9.6999999999999993</c:v>
                </c:pt>
                <c:pt idx="158">
                  <c:v>8.8000000000000007</c:v>
                </c:pt>
                <c:pt idx="159">
                  <c:v>11.4</c:v>
                </c:pt>
                <c:pt idx="160">
                  <c:v>9.5</c:v>
                </c:pt>
                <c:pt idx="161">
                  <c:v>8.1999999999999993</c:v>
                </c:pt>
                <c:pt idx="162">
                  <c:v>9</c:v>
                </c:pt>
                <c:pt idx="163">
                  <c:v>12.2</c:v>
                </c:pt>
                <c:pt idx="164">
                  <c:v>10.6</c:v>
                </c:pt>
                <c:pt idx="165">
                  <c:v>9.8000000000000007</c:v>
                </c:pt>
                <c:pt idx="166">
                  <c:v>7.6</c:v>
                </c:pt>
                <c:pt idx="167">
                  <c:v>11.5</c:v>
                </c:pt>
                <c:pt idx="168">
                  <c:v>9.4</c:v>
                </c:pt>
                <c:pt idx="169">
                  <c:v>13.8</c:v>
                </c:pt>
                <c:pt idx="170">
                  <c:v>11.1</c:v>
                </c:pt>
                <c:pt idx="171">
                  <c:v>13.6</c:v>
                </c:pt>
                <c:pt idx="172">
                  <c:v>9.1</c:v>
                </c:pt>
                <c:pt idx="173">
                  <c:v>9.6999999999999993</c:v>
                </c:pt>
                <c:pt idx="174">
                  <c:v>8</c:v>
                </c:pt>
                <c:pt idx="175">
                  <c:v>9.1999999999999993</c:v>
                </c:pt>
                <c:pt idx="176">
                  <c:v>11.4</c:v>
                </c:pt>
                <c:pt idx="177">
                  <c:v>8.5</c:v>
                </c:pt>
                <c:pt idx="178">
                  <c:v>6.7</c:v>
                </c:pt>
                <c:pt idx="179">
                  <c:v>9.6999999999999993</c:v>
                </c:pt>
                <c:pt idx="180">
                  <c:v>11.8</c:v>
                </c:pt>
                <c:pt idx="181">
                  <c:v>9.9</c:v>
                </c:pt>
                <c:pt idx="182">
                  <c:v>9.4</c:v>
                </c:pt>
                <c:pt idx="183">
                  <c:v>9.8000000000000007</c:v>
                </c:pt>
                <c:pt idx="184">
                  <c:v>8.6999999999999993</c:v>
                </c:pt>
                <c:pt idx="185">
                  <c:v>8.8000000000000007</c:v>
                </c:pt>
                <c:pt idx="186">
                  <c:v>8.5</c:v>
                </c:pt>
                <c:pt idx="187">
                  <c:v>12.5</c:v>
                </c:pt>
                <c:pt idx="188">
                  <c:v>6.9</c:v>
                </c:pt>
                <c:pt idx="189">
                  <c:v>11.8</c:v>
                </c:pt>
                <c:pt idx="190">
                  <c:v>9.5</c:v>
                </c:pt>
                <c:pt idx="191">
                  <c:v>10.6</c:v>
                </c:pt>
                <c:pt idx="192">
                  <c:v>6.6</c:v>
                </c:pt>
              </c:numCache>
            </c:numRef>
          </c:xVal>
          <c:yVal>
            <c:numRef>
              <c:f>Resposta!$C$2:$C$194</c:f>
              <c:numCache>
                <c:formatCode>General</c:formatCode>
                <c:ptCount val="193"/>
                <c:pt idx="0">
                  <c:v>0.73299999999999998</c:v>
                </c:pt>
                <c:pt idx="1">
                  <c:v>0.82</c:v>
                </c:pt>
                <c:pt idx="2">
                  <c:v>0.80900000000000005</c:v>
                </c:pt>
                <c:pt idx="3">
                  <c:v>0.85899999999999999</c:v>
                </c:pt>
                <c:pt idx="4">
                  <c:v>0.70399999999999996</c:v>
                </c:pt>
                <c:pt idx="5">
                  <c:v>0.84399999999999997</c:v>
                </c:pt>
                <c:pt idx="6">
                  <c:v>0.625</c:v>
                </c:pt>
                <c:pt idx="7">
                  <c:v>0.59699999999999998</c:v>
                </c:pt>
                <c:pt idx="8">
                  <c:v>0.63800000000000001</c:v>
                </c:pt>
                <c:pt idx="9">
                  <c:v>0.85499999999999998</c:v>
                </c:pt>
                <c:pt idx="10">
                  <c:v>0.57899999999999996</c:v>
                </c:pt>
                <c:pt idx="11">
                  <c:v>0.66700000000000004</c:v>
                </c:pt>
                <c:pt idx="12">
                  <c:v>0.81299999999999994</c:v>
                </c:pt>
                <c:pt idx="13">
                  <c:v>0.83199999999999996</c:v>
                </c:pt>
                <c:pt idx="14">
                  <c:v>0.82</c:v>
                </c:pt>
                <c:pt idx="15">
                  <c:v>0.39</c:v>
                </c:pt>
                <c:pt idx="16">
                  <c:v>0.66700000000000004</c:v>
                </c:pt>
                <c:pt idx="17">
                  <c:v>0.53200000000000003</c:v>
                </c:pt>
                <c:pt idx="18">
                  <c:v>0.69199999999999995</c:v>
                </c:pt>
                <c:pt idx="19">
                  <c:v>0.82299999999999995</c:v>
                </c:pt>
                <c:pt idx="20">
                  <c:v>0.85299999999999998</c:v>
                </c:pt>
                <c:pt idx="21">
                  <c:v>0.442</c:v>
                </c:pt>
                <c:pt idx="22">
                  <c:v>0.66700000000000004</c:v>
                </c:pt>
                <c:pt idx="23">
                  <c:v>0.754</c:v>
                </c:pt>
                <c:pt idx="24">
                  <c:v>0.84599999999999997</c:v>
                </c:pt>
                <c:pt idx="25">
                  <c:v>0.82299999999999995</c:v>
                </c:pt>
                <c:pt idx="26">
                  <c:v>0.63200000000000001</c:v>
                </c:pt>
                <c:pt idx="27">
                  <c:v>0.82399999999999995</c:v>
                </c:pt>
                <c:pt idx="28">
                  <c:v>0.73399999999999999</c:v>
                </c:pt>
                <c:pt idx="29">
                  <c:v>0.65100000000000002</c:v>
                </c:pt>
                <c:pt idx="30">
                  <c:v>0.82299999999999995</c:v>
                </c:pt>
                <c:pt idx="31">
                  <c:v>0.69899999999999995</c:v>
                </c:pt>
                <c:pt idx="32">
                  <c:v>0.45200000000000001</c:v>
                </c:pt>
                <c:pt idx="33">
                  <c:v>0.749</c:v>
                </c:pt>
                <c:pt idx="34">
                  <c:v>0.84599999999999997</c:v>
                </c:pt>
                <c:pt idx="35">
                  <c:v>0.66100000000000003</c:v>
                </c:pt>
                <c:pt idx="36">
                  <c:v>0.75</c:v>
                </c:pt>
                <c:pt idx="37">
                  <c:v>0.60599999999999998</c:v>
                </c:pt>
                <c:pt idx="38">
                  <c:v>0.82399999999999995</c:v>
                </c:pt>
                <c:pt idx="39">
                  <c:v>0.70599999999999996</c:v>
                </c:pt>
                <c:pt idx="40">
                  <c:v>0.61199999999999999</c:v>
                </c:pt>
                <c:pt idx="41">
                  <c:v>0.58699999999999997</c:v>
                </c:pt>
                <c:pt idx="42">
                  <c:v>0.81599999999999995</c:v>
                </c:pt>
                <c:pt idx="43">
                  <c:v>0.68600000000000005</c:v>
                </c:pt>
                <c:pt idx="44">
                  <c:v>0.84099999999999997</c:v>
                </c:pt>
                <c:pt idx="45">
                  <c:v>0.81399999999999995</c:v>
                </c:pt>
                <c:pt idx="46">
                  <c:v>0.81599999999999995</c:v>
                </c:pt>
                <c:pt idx="47">
                  <c:v>0.73699999999999999</c:v>
                </c:pt>
                <c:pt idx="48">
                  <c:v>0.51</c:v>
                </c:pt>
                <c:pt idx="49">
                  <c:v>0.64200000000000002</c:v>
                </c:pt>
                <c:pt idx="50">
                  <c:v>0.57599999999999996</c:v>
                </c:pt>
                <c:pt idx="51">
                  <c:v>0.81</c:v>
                </c:pt>
                <c:pt idx="52">
                  <c:v>0.76700000000000002</c:v>
                </c:pt>
                <c:pt idx="53">
                  <c:v>0.76100000000000001</c:v>
                </c:pt>
                <c:pt idx="54">
                  <c:v>0.83499999999999996</c:v>
                </c:pt>
                <c:pt idx="55">
                  <c:v>0.53200000000000003</c:v>
                </c:pt>
                <c:pt idx="56">
                  <c:v>0.69699999999999995</c:v>
                </c:pt>
                <c:pt idx="57">
                  <c:v>0.42099999999999999</c:v>
                </c:pt>
                <c:pt idx="58">
                  <c:v>0.52500000000000002</c:v>
                </c:pt>
                <c:pt idx="59">
                  <c:v>0.80100000000000005</c:v>
                </c:pt>
                <c:pt idx="60">
                  <c:v>0.63100000000000001</c:v>
                </c:pt>
                <c:pt idx="61">
                  <c:v>0.63</c:v>
                </c:pt>
                <c:pt idx="62">
                  <c:v>0.77500000000000002</c:v>
                </c:pt>
                <c:pt idx="63">
                  <c:v>0.61899999999999999</c:v>
                </c:pt>
                <c:pt idx="64">
                  <c:v>0.76100000000000001</c:v>
                </c:pt>
                <c:pt idx="65">
                  <c:v>0.82799999999999996</c:v>
                </c:pt>
                <c:pt idx="66">
                  <c:v>0.72599999999999998</c:v>
                </c:pt>
                <c:pt idx="67">
                  <c:v>0.82499999999999996</c:v>
                </c:pt>
                <c:pt idx="68">
                  <c:v>0.81299999999999994</c:v>
                </c:pt>
                <c:pt idx="69">
                  <c:v>0.68400000000000005</c:v>
                </c:pt>
                <c:pt idx="70">
                  <c:v>0.66900000000000004</c:v>
                </c:pt>
                <c:pt idx="71">
                  <c:v>0.81299999999999994</c:v>
                </c:pt>
                <c:pt idx="72">
                  <c:v>0.34699999999999998</c:v>
                </c:pt>
                <c:pt idx="73">
                  <c:v>0.84599999999999997</c:v>
                </c:pt>
                <c:pt idx="74">
                  <c:v>0.64300000000000002</c:v>
                </c:pt>
                <c:pt idx="75">
                  <c:v>0.79300000000000004</c:v>
                </c:pt>
                <c:pt idx="76">
                  <c:v>0.64700000000000002</c:v>
                </c:pt>
                <c:pt idx="77">
                  <c:v>0.72099999999999997</c:v>
                </c:pt>
                <c:pt idx="78">
                  <c:v>0.68400000000000005</c:v>
                </c:pt>
                <c:pt idx="79">
                  <c:v>0.41599999999999998</c:v>
                </c:pt>
                <c:pt idx="80">
                  <c:v>0.54700000000000004</c:v>
                </c:pt>
                <c:pt idx="81">
                  <c:v>0.81699999999999995</c:v>
                </c:pt>
                <c:pt idx="82">
                  <c:v>0.84199999999999997</c:v>
                </c:pt>
                <c:pt idx="83">
                  <c:v>0.60499999999999998</c:v>
                </c:pt>
                <c:pt idx="84">
                  <c:v>0.61699999999999999</c:v>
                </c:pt>
                <c:pt idx="85">
                  <c:v>0.70099999999999996</c:v>
                </c:pt>
                <c:pt idx="86">
                  <c:v>0.53500000000000003</c:v>
                </c:pt>
                <c:pt idx="87">
                  <c:v>0.374</c:v>
                </c:pt>
                <c:pt idx="88">
                  <c:v>0.82299999999999995</c:v>
                </c:pt>
                <c:pt idx="89">
                  <c:v>0.64100000000000001</c:v>
                </c:pt>
                <c:pt idx="90">
                  <c:v>0.81699999999999995</c:v>
                </c:pt>
                <c:pt idx="91">
                  <c:v>0.50700000000000001</c:v>
                </c:pt>
                <c:pt idx="92">
                  <c:v>0.53100000000000003</c:v>
                </c:pt>
                <c:pt idx="93">
                  <c:v>0.83199999999999996</c:v>
                </c:pt>
                <c:pt idx="94">
                  <c:v>0.85299999999999998</c:v>
                </c:pt>
                <c:pt idx="95">
                  <c:v>0.78200000000000003</c:v>
                </c:pt>
                <c:pt idx="96">
                  <c:v>0.76800000000000002</c:v>
                </c:pt>
                <c:pt idx="97">
                  <c:v>0.78100000000000003</c:v>
                </c:pt>
                <c:pt idx="98">
                  <c:v>0.83899999999999997</c:v>
                </c:pt>
                <c:pt idx="99">
                  <c:v>0.81599999999999995</c:v>
                </c:pt>
                <c:pt idx="100">
                  <c:v>0.86</c:v>
                </c:pt>
                <c:pt idx="101">
                  <c:v>0.56599999999999995</c:v>
                </c:pt>
                <c:pt idx="102">
                  <c:v>0.65200000000000002</c:v>
                </c:pt>
                <c:pt idx="103">
                  <c:v>0.82399999999999995</c:v>
                </c:pt>
                <c:pt idx="104">
                  <c:v>0.75900000000000001</c:v>
                </c:pt>
                <c:pt idx="105">
                  <c:v>0.73699999999999999</c:v>
                </c:pt>
                <c:pt idx="106">
                  <c:v>0.46700000000000003</c:v>
                </c:pt>
                <c:pt idx="107">
                  <c:v>0.72899999999999998</c:v>
                </c:pt>
                <c:pt idx="108">
                  <c:v>0.68100000000000005</c:v>
                </c:pt>
                <c:pt idx="109">
                  <c:v>0.79</c:v>
                </c:pt>
                <c:pt idx="110">
                  <c:v>0.64500000000000002</c:v>
                </c:pt>
                <c:pt idx="111">
                  <c:v>0.433</c:v>
                </c:pt>
                <c:pt idx="112">
                  <c:v>0.85299999999999998</c:v>
                </c:pt>
                <c:pt idx="113">
                  <c:v>0.85</c:v>
                </c:pt>
                <c:pt idx="114">
                  <c:v>0.61</c:v>
                </c:pt>
                <c:pt idx="115">
                  <c:v>0.45800000000000002</c:v>
                </c:pt>
                <c:pt idx="116">
                  <c:v>0.81100000000000005</c:v>
                </c:pt>
                <c:pt idx="117">
                  <c:v>0.85299999999999998</c:v>
                </c:pt>
                <c:pt idx="118">
                  <c:v>0.52</c:v>
                </c:pt>
                <c:pt idx="119">
                  <c:v>0.60399999999999998</c:v>
                </c:pt>
                <c:pt idx="120">
                  <c:v>0.85</c:v>
                </c:pt>
                <c:pt idx="121">
                  <c:v>0.502</c:v>
                </c:pt>
                <c:pt idx="122">
                  <c:v>0.64500000000000002</c:v>
                </c:pt>
                <c:pt idx="123">
                  <c:v>0.60199999999999998</c:v>
                </c:pt>
                <c:pt idx="124">
                  <c:v>0.67600000000000005</c:v>
                </c:pt>
                <c:pt idx="125">
                  <c:v>0.745</c:v>
                </c:pt>
                <c:pt idx="126">
                  <c:v>0.65500000000000003</c:v>
                </c:pt>
                <c:pt idx="127">
                  <c:v>0.45200000000000001</c:v>
                </c:pt>
                <c:pt idx="128">
                  <c:v>0.86099999999999999</c:v>
                </c:pt>
                <c:pt idx="129">
                  <c:v>0.85899999999999999</c:v>
                </c:pt>
                <c:pt idx="130">
                  <c:v>0.81699999999999995</c:v>
                </c:pt>
                <c:pt idx="131">
                  <c:v>0.67600000000000005</c:v>
                </c:pt>
                <c:pt idx="132">
                  <c:v>0.84299999999999997</c:v>
                </c:pt>
                <c:pt idx="133">
                  <c:v>0.79300000000000004</c:v>
                </c:pt>
                <c:pt idx="134">
                  <c:v>0.64600000000000002</c:v>
                </c:pt>
                <c:pt idx="135">
                  <c:v>0.66300000000000003</c:v>
                </c:pt>
                <c:pt idx="136">
                  <c:v>0.77500000000000002</c:v>
                </c:pt>
                <c:pt idx="137">
                  <c:v>0.81399999999999995</c:v>
                </c:pt>
                <c:pt idx="138">
                  <c:v>0.59299999999999997</c:v>
                </c:pt>
                <c:pt idx="139">
                  <c:v>0.82</c:v>
                </c:pt>
                <c:pt idx="140">
                  <c:v>0.48599999999999999</c:v>
                </c:pt>
                <c:pt idx="141">
                  <c:v>0.56299999999999994</c:v>
                </c:pt>
                <c:pt idx="142">
                  <c:v>0.81399999999999995</c:v>
                </c:pt>
                <c:pt idx="143">
                  <c:v>0.67100000000000004</c:v>
                </c:pt>
                <c:pt idx="144">
                  <c:v>0.57099999999999995</c:v>
                </c:pt>
                <c:pt idx="145">
                  <c:v>0.65800000000000003</c:v>
                </c:pt>
                <c:pt idx="146">
                  <c:v>0.59</c:v>
                </c:pt>
                <c:pt idx="147">
                  <c:v>0.63</c:v>
                </c:pt>
                <c:pt idx="148">
                  <c:v>0.59</c:v>
                </c:pt>
                <c:pt idx="149">
                  <c:v>0.46400000000000002</c:v>
                </c:pt>
                <c:pt idx="150">
                  <c:v>0.71299999999999997</c:v>
                </c:pt>
                <c:pt idx="151">
                  <c:v>0.72599999999999998</c:v>
                </c:pt>
                <c:pt idx="152">
                  <c:v>0.8</c:v>
                </c:pt>
                <c:pt idx="153">
                  <c:v>0.72799999999999998</c:v>
                </c:pt>
                <c:pt idx="154">
                  <c:v>0.68700000000000006</c:v>
                </c:pt>
                <c:pt idx="155">
                  <c:v>0.79</c:v>
                </c:pt>
                <c:pt idx="156">
                  <c:v>0.59199999999999997</c:v>
                </c:pt>
                <c:pt idx="157">
                  <c:v>0.61899999999999999</c:v>
                </c:pt>
                <c:pt idx="158">
                  <c:v>0.54</c:v>
                </c:pt>
                <c:pt idx="159">
                  <c:v>0.74299999999999999</c:v>
                </c:pt>
                <c:pt idx="160">
                  <c:v>0.63500000000000001</c:v>
                </c:pt>
                <c:pt idx="161">
                  <c:v>0.61</c:v>
                </c:pt>
                <c:pt idx="162">
                  <c:v>0.56799999999999995</c:v>
                </c:pt>
                <c:pt idx="163">
                  <c:v>0.80100000000000005</c:v>
                </c:pt>
                <c:pt idx="164">
                  <c:v>0.72299999999999998</c:v>
                </c:pt>
                <c:pt idx="165">
                  <c:v>0.69499999999999995</c:v>
                </c:pt>
                <c:pt idx="166">
                  <c:v>0.45500000000000002</c:v>
                </c:pt>
                <c:pt idx="167">
                  <c:v>0.78600000000000003</c:v>
                </c:pt>
                <c:pt idx="168">
                  <c:v>0.627</c:v>
                </c:pt>
                <c:pt idx="169">
                  <c:v>0.82299999999999995</c:v>
                </c:pt>
                <c:pt idx="170">
                  <c:v>0.69899999999999995</c:v>
                </c:pt>
                <c:pt idx="171">
                  <c:v>0.82299999999999995</c:v>
                </c:pt>
                <c:pt idx="172">
                  <c:v>0.59199999999999997</c:v>
                </c:pt>
                <c:pt idx="173">
                  <c:v>0.65600000000000003</c:v>
                </c:pt>
                <c:pt idx="174">
                  <c:v>0.47599999999999998</c:v>
                </c:pt>
                <c:pt idx="175">
                  <c:v>0.61799999999999999</c:v>
                </c:pt>
                <c:pt idx="176">
                  <c:v>0.8</c:v>
                </c:pt>
                <c:pt idx="177">
                  <c:v>0.59199999999999997</c:v>
                </c:pt>
                <c:pt idx="178">
                  <c:v>0.5</c:v>
                </c:pt>
                <c:pt idx="179">
                  <c:v>0.60499999999999998</c:v>
                </c:pt>
                <c:pt idx="180">
                  <c:v>0.747</c:v>
                </c:pt>
                <c:pt idx="181">
                  <c:v>0.624</c:v>
                </c:pt>
                <c:pt idx="182">
                  <c:v>0.64600000000000002</c:v>
                </c:pt>
                <c:pt idx="183">
                  <c:v>0.72899999999999998</c:v>
                </c:pt>
                <c:pt idx="184">
                  <c:v>0.57899999999999996</c:v>
                </c:pt>
                <c:pt idx="185">
                  <c:v>0.63300000000000001</c:v>
                </c:pt>
                <c:pt idx="186">
                  <c:v>0.61299999999999999</c:v>
                </c:pt>
                <c:pt idx="187">
                  <c:v>0.82399999999999995</c:v>
                </c:pt>
                <c:pt idx="188">
                  <c:v>0.51100000000000001</c:v>
                </c:pt>
                <c:pt idx="189">
                  <c:v>0.79200000000000004</c:v>
                </c:pt>
                <c:pt idx="190">
                  <c:v>0.67200000000000004</c:v>
                </c:pt>
                <c:pt idx="191">
                  <c:v>0.70799999999999996</c:v>
                </c:pt>
                <c:pt idx="192">
                  <c:v>0.42899999999999999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50-4EDE-AD0E-2E09A0B9A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320367"/>
        <c:axId val="1559318447"/>
      </c:scatterChart>
      <c:valAx>
        <c:axId val="155932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9318447"/>
        <c:crosses val="autoZero"/>
        <c:crossBetween val="midCat"/>
      </c:valAx>
      <c:valAx>
        <c:axId val="155931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9320367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IDH vs PIB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Resposta!$E$2:$E$194</c:f>
              <c:numCache>
                <c:formatCode>General</c:formatCode>
                <c:ptCount val="193"/>
                <c:pt idx="0">
                  <c:v>76654</c:v>
                </c:pt>
                <c:pt idx="1">
                  <c:v>142759</c:v>
                </c:pt>
                <c:pt idx="2">
                  <c:v>113165</c:v>
                </c:pt>
                <c:pt idx="3">
                  <c:v>136649</c:v>
                </c:pt>
                <c:pt idx="4">
                  <c:v>66463</c:v>
                </c:pt>
                <c:pt idx="5">
                  <c:v>142401</c:v>
                </c:pt>
                <c:pt idx="6">
                  <c:v>43987</c:v>
                </c:pt>
                <c:pt idx="7">
                  <c:v>36238</c:v>
                </c:pt>
                <c:pt idx="8">
                  <c:v>47632</c:v>
                </c:pt>
                <c:pt idx="9">
                  <c:v>126087</c:v>
                </c:pt>
                <c:pt idx="10">
                  <c:v>32282</c:v>
                </c:pt>
                <c:pt idx="11">
                  <c:v>53637</c:v>
                </c:pt>
                <c:pt idx="12">
                  <c:v>133291</c:v>
                </c:pt>
                <c:pt idx="13">
                  <c:v>126087</c:v>
                </c:pt>
                <c:pt idx="14">
                  <c:v>120124</c:v>
                </c:pt>
                <c:pt idx="15">
                  <c:v>9305</c:v>
                </c:pt>
                <c:pt idx="16">
                  <c:v>65961</c:v>
                </c:pt>
                <c:pt idx="17">
                  <c:v>28503</c:v>
                </c:pt>
                <c:pt idx="18">
                  <c:v>61189</c:v>
                </c:pt>
                <c:pt idx="19">
                  <c:v>145194</c:v>
                </c:pt>
                <c:pt idx="20">
                  <c:v>126087</c:v>
                </c:pt>
                <c:pt idx="21">
                  <c:v>18426</c:v>
                </c:pt>
                <c:pt idx="22">
                  <c:v>57382</c:v>
                </c:pt>
                <c:pt idx="23">
                  <c:v>93174</c:v>
                </c:pt>
                <c:pt idx="24">
                  <c:v>146546</c:v>
                </c:pt>
                <c:pt idx="25">
                  <c:v>139360</c:v>
                </c:pt>
                <c:pt idx="26">
                  <c:v>50191</c:v>
                </c:pt>
                <c:pt idx="27">
                  <c:v>145194</c:v>
                </c:pt>
                <c:pt idx="28">
                  <c:v>76412</c:v>
                </c:pt>
                <c:pt idx="29">
                  <c:v>43526</c:v>
                </c:pt>
                <c:pt idx="30">
                  <c:v>134803</c:v>
                </c:pt>
                <c:pt idx="31">
                  <c:v>67186</c:v>
                </c:pt>
                <c:pt idx="32">
                  <c:v>14047</c:v>
                </c:pt>
                <c:pt idx="33">
                  <c:v>88766</c:v>
                </c:pt>
                <c:pt idx="34">
                  <c:v>145194</c:v>
                </c:pt>
                <c:pt idx="35">
                  <c:v>55356</c:v>
                </c:pt>
                <c:pt idx="36">
                  <c:v>93215</c:v>
                </c:pt>
                <c:pt idx="37">
                  <c:v>34955</c:v>
                </c:pt>
                <c:pt idx="38">
                  <c:v>125516</c:v>
                </c:pt>
                <c:pt idx="39">
                  <c:v>68086</c:v>
                </c:pt>
                <c:pt idx="40">
                  <c:v>37956</c:v>
                </c:pt>
                <c:pt idx="41">
                  <c:v>32812</c:v>
                </c:pt>
                <c:pt idx="42">
                  <c:v>132108</c:v>
                </c:pt>
                <c:pt idx="43">
                  <c:v>61404</c:v>
                </c:pt>
                <c:pt idx="44">
                  <c:v>138940</c:v>
                </c:pt>
                <c:pt idx="45">
                  <c:v>132108</c:v>
                </c:pt>
                <c:pt idx="46">
                  <c:v>136649</c:v>
                </c:pt>
                <c:pt idx="47">
                  <c:v>85592</c:v>
                </c:pt>
                <c:pt idx="48">
                  <c:v>18204</c:v>
                </c:pt>
                <c:pt idx="49">
                  <c:v>44770</c:v>
                </c:pt>
                <c:pt idx="50">
                  <c:v>36163</c:v>
                </c:pt>
                <c:pt idx="51">
                  <c:v>120124</c:v>
                </c:pt>
                <c:pt idx="52">
                  <c:v>95695</c:v>
                </c:pt>
                <c:pt idx="53">
                  <c:v>87002</c:v>
                </c:pt>
                <c:pt idx="54">
                  <c:v>146546</c:v>
                </c:pt>
                <c:pt idx="55">
                  <c:v>23734</c:v>
                </c:pt>
                <c:pt idx="56">
                  <c:v>67666</c:v>
                </c:pt>
                <c:pt idx="57">
                  <c:v>9409</c:v>
                </c:pt>
                <c:pt idx="58">
                  <c:v>26104</c:v>
                </c:pt>
                <c:pt idx="59">
                  <c:v>113730</c:v>
                </c:pt>
                <c:pt idx="60">
                  <c:v>41641</c:v>
                </c:pt>
                <c:pt idx="61">
                  <c:v>42938</c:v>
                </c:pt>
                <c:pt idx="62">
                  <c:v>103267</c:v>
                </c:pt>
                <c:pt idx="63">
                  <c:v>38514</c:v>
                </c:pt>
                <c:pt idx="64">
                  <c:v>92925</c:v>
                </c:pt>
                <c:pt idx="65">
                  <c:v>121063</c:v>
                </c:pt>
                <c:pt idx="66">
                  <c:v>72716</c:v>
                </c:pt>
                <c:pt idx="67">
                  <c:v>142401</c:v>
                </c:pt>
                <c:pt idx="68">
                  <c:v>138940</c:v>
                </c:pt>
                <c:pt idx="69">
                  <c:v>62498</c:v>
                </c:pt>
                <c:pt idx="70">
                  <c:v>54713</c:v>
                </c:pt>
                <c:pt idx="71">
                  <c:v>120124</c:v>
                </c:pt>
                <c:pt idx="72">
                  <c:v>6976</c:v>
                </c:pt>
                <c:pt idx="73">
                  <c:v>134803</c:v>
                </c:pt>
                <c:pt idx="74">
                  <c:v>50195</c:v>
                </c:pt>
                <c:pt idx="75">
                  <c:v>118815</c:v>
                </c:pt>
                <c:pt idx="76">
                  <c:v>46427</c:v>
                </c:pt>
                <c:pt idx="77">
                  <c:v>68179</c:v>
                </c:pt>
                <c:pt idx="78">
                  <c:v>65760</c:v>
                </c:pt>
                <c:pt idx="79">
                  <c:v>11893</c:v>
                </c:pt>
                <c:pt idx="80">
                  <c:v>22799</c:v>
                </c:pt>
                <c:pt idx="81">
                  <c:v>119427</c:v>
                </c:pt>
                <c:pt idx="82">
                  <c:v>142401</c:v>
                </c:pt>
                <c:pt idx="83">
                  <c:v>43716</c:v>
                </c:pt>
                <c:pt idx="84">
                  <c:v>50107</c:v>
                </c:pt>
                <c:pt idx="85">
                  <c:v>68378</c:v>
                </c:pt>
                <c:pt idx="86">
                  <c:v>25131</c:v>
                </c:pt>
                <c:pt idx="87">
                  <c:v>9734</c:v>
                </c:pt>
                <c:pt idx="88">
                  <c:v>119427</c:v>
                </c:pt>
                <c:pt idx="89">
                  <c:v>42488</c:v>
                </c:pt>
                <c:pt idx="90">
                  <c:v>139360</c:v>
                </c:pt>
                <c:pt idx="91">
                  <c:v>18739</c:v>
                </c:pt>
                <c:pt idx="92">
                  <c:v>24181</c:v>
                </c:pt>
                <c:pt idx="93">
                  <c:v>134803</c:v>
                </c:pt>
                <c:pt idx="94">
                  <c:v>143908</c:v>
                </c:pt>
                <c:pt idx="95">
                  <c:v>121063</c:v>
                </c:pt>
                <c:pt idx="96">
                  <c:v>99220</c:v>
                </c:pt>
                <c:pt idx="97">
                  <c:v>112595</c:v>
                </c:pt>
                <c:pt idx="98">
                  <c:v>121063</c:v>
                </c:pt>
                <c:pt idx="99">
                  <c:v>142252</c:v>
                </c:pt>
                <c:pt idx="100">
                  <c:v>125516</c:v>
                </c:pt>
                <c:pt idx="101">
                  <c:v>23425</c:v>
                </c:pt>
                <c:pt idx="102">
                  <c:v>38449</c:v>
                </c:pt>
                <c:pt idx="103">
                  <c:v>142252</c:v>
                </c:pt>
                <c:pt idx="104">
                  <c:v>99504</c:v>
                </c:pt>
                <c:pt idx="105">
                  <c:v>85228</c:v>
                </c:pt>
                <c:pt idx="106">
                  <c:v>11479</c:v>
                </c:pt>
                <c:pt idx="107">
                  <c:v>82498</c:v>
                </c:pt>
                <c:pt idx="108">
                  <c:v>63681</c:v>
                </c:pt>
                <c:pt idx="109">
                  <c:v>114939</c:v>
                </c:pt>
                <c:pt idx="110">
                  <c:v>42439</c:v>
                </c:pt>
                <c:pt idx="111">
                  <c:v>14740</c:v>
                </c:pt>
                <c:pt idx="112">
                  <c:v>133291</c:v>
                </c:pt>
                <c:pt idx="113">
                  <c:v>142759</c:v>
                </c:pt>
                <c:pt idx="114">
                  <c:v>34001</c:v>
                </c:pt>
                <c:pt idx="115">
                  <c:v>15254</c:v>
                </c:pt>
                <c:pt idx="116">
                  <c:v>132108</c:v>
                </c:pt>
                <c:pt idx="117">
                  <c:v>143908</c:v>
                </c:pt>
                <c:pt idx="118">
                  <c:v>24534</c:v>
                </c:pt>
                <c:pt idx="119">
                  <c:v>36754</c:v>
                </c:pt>
                <c:pt idx="120">
                  <c:v>131838</c:v>
                </c:pt>
                <c:pt idx="121">
                  <c:v>19782</c:v>
                </c:pt>
                <c:pt idx="122">
                  <c:v>47078</c:v>
                </c:pt>
                <c:pt idx="123">
                  <c:v>34867</c:v>
                </c:pt>
                <c:pt idx="124">
                  <c:v>47265</c:v>
                </c:pt>
                <c:pt idx="125">
                  <c:v>81115</c:v>
                </c:pt>
                <c:pt idx="126">
                  <c:v>44785</c:v>
                </c:pt>
                <c:pt idx="127">
                  <c:v>13379</c:v>
                </c:pt>
                <c:pt idx="128">
                  <c:v>138940</c:v>
                </c:pt>
                <c:pt idx="129">
                  <c:v>133291</c:v>
                </c:pt>
                <c:pt idx="130">
                  <c:v>131838</c:v>
                </c:pt>
                <c:pt idx="131">
                  <c:v>53075</c:v>
                </c:pt>
                <c:pt idx="132">
                  <c:v>139360</c:v>
                </c:pt>
                <c:pt idx="133">
                  <c:v>119427</c:v>
                </c:pt>
                <c:pt idx="134">
                  <c:v>50902</c:v>
                </c:pt>
                <c:pt idx="135">
                  <c:v>55411</c:v>
                </c:pt>
                <c:pt idx="136">
                  <c:v>90739</c:v>
                </c:pt>
                <c:pt idx="137">
                  <c:v>136649</c:v>
                </c:pt>
                <c:pt idx="138">
                  <c:v>38555</c:v>
                </c:pt>
                <c:pt idx="139">
                  <c:v>142759</c:v>
                </c:pt>
                <c:pt idx="140">
                  <c:v>20848</c:v>
                </c:pt>
                <c:pt idx="141">
                  <c:v>28149</c:v>
                </c:pt>
                <c:pt idx="142">
                  <c:v>131838</c:v>
                </c:pt>
                <c:pt idx="143">
                  <c:v>59655</c:v>
                </c:pt>
                <c:pt idx="144">
                  <c:v>29665</c:v>
                </c:pt>
                <c:pt idx="145">
                  <c:v>53309</c:v>
                </c:pt>
                <c:pt idx="146">
                  <c:v>40223</c:v>
                </c:pt>
                <c:pt idx="147">
                  <c:v>46287</c:v>
                </c:pt>
                <c:pt idx="148">
                  <c:v>36635</c:v>
                </c:pt>
                <c:pt idx="149">
                  <c:v>13903</c:v>
                </c:pt>
                <c:pt idx="150">
                  <c:v>70603</c:v>
                </c:pt>
                <c:pt idx="151">
                  <c:v>67893</c:v>
                </c:pt>
                <c:pt idx="152">
                  <c:v>125516</c:v>
                </c:pt>
                <c:pt idx="153">
                  <c:v>72820</c:v>
                </c:pt>
                <c:pt idx="154">
                  <c:v>66502</c:v>
                </c:pt>
                <c:pt idx="155">
                  <c:v>115175</c:v>
                </c:pt>
                <c:pt idx="156">
                  <c:v>26761</c:v>
                </c:pt>
                <c:pt idx="157">
                  <c:v>40162</c:v>
                </c:pt>
                <c:pt idx="158">
                  <c:v>27161</c:v>
                </c:pt>
                <c:pt idx="159">
                  <c:v>84403</c:v>
                </c:pt>
                <c:pt idx="160">
                  <c:v>47829</c:v>
                </c:pt>
                <c:pt idx="161">
                  <c:v>41585</c:v>
                </c:pt>
                <c:pt idx="162">
                  <c:v>32223</c:v>
                </c:pt>
                <c:pt idx="163">
                  <c:v>126087</c:v>
                </c:pt>
                <c:pt idx="164">
                  <c:v>83017</c:v>
                </c:pt>
                <c:pt idx="165">
                  <c:v>61987</c:v>
                </c:pt>
                <c:pt idx="166">
                  <c:v>16309</c:v>
                </c:pt>
                <c:pt idx="167">
                  <c:v>112682</c:v>
                </c:pt>
                <c:pt idx="168">
                  <c:v>41350</c:v>
                </c:pt>
                <c:pt idx="169">
                  <c:v>142252</c:v>
                </c:pt>
                <c:pt idx="170">
                  <c:v>65873</c:v>
                </c:pt>
                <c:pt idx="171">
                  <c:v>146546</c:v>
                </c:pt>
                <c:pt idx="172">
                  <c:v>32898</c:v>
                </c:pt>
                <c:pt idx="173">
                  <c:v>43471</c:v>
                </c:pt>
                <c:pt idx="174">
                  <c:v>17532</c:v>
                </c:pt>
                <c:pt idx="175">
                  <c:v>46326</c:v>
                </c:pt>
                <c:pt idx="176">
                  <c:v>119181</c:v>
                </c:pt>
                <c:pt idx="177">
                  <c:v>29940</c:v>
                </c:pt>
                <c:pt idx="178">
                  <c:v>14580</c:v>
                </c:pt>
                <c:pt idx="179">
                  <c:v>34970</c:v>
                </c:pt>
                <c:pt idx="180">
                  <c:v>86805</c:v>
                </c:pt>
                <c:pt idx="181">
                  <c:v>49172</c:v>
                </c:pt>
                <c:pt idx="182">
                  <c:v>44581</c:v>
                </c:pt>
                <c:pt idx="183">
                  <c:v>81546</c:v>
                </c:pt>
                <c:pt idx="184">
                  <c:v>26681</c:v>
                </c:pt>
                <c:pt idx="185">
                  <c:v>42552</c:v>
                </c:pt>
                <c:pt idx="186">
                  <c:v>33228</c:v>
                </c:pt>
                <c:pt idx="187">
                  <c:v>143908</c:v>
                </c:pt>
                <c:pt idx="188">
                  <c:v>22119</c:v>
                </c:pt>
                <c:pt idx="189">
                  <c:v>109309</c:v>
                </c:pt>
                <c:pt idx="190">
                  <c:v>62289</c:v>
                </c:pt>
                <c:pt idx="191">
                  <c:v>77274</c:v>
                </c:pt>
                <c:pt idx="192">
                  <c:v>17759</c:v>
                </c:pt>
              </c:numCache>
            </c:numRef>
          </c:xVal>
          <c:yVal>
            <c:numRef>
              <c:f>Resposta!$C$2:$C$194</c:f>
              <c:numCache>
                <c:formatCode>General</c:formatCode>
                <c:ptCount val="193"/>
                <c:pt idx="0">
                  <c:v>0.73299999999999998</c:v>
                </c:pt>
                <c:pt idx="1">
                  <c:v>0.82</c:v>
                </c:pt>
                <c:pt idx="2">
                  <c:v>0.80900000000000005</c:v>
                </c:pt>
                <c:pt idx="3">
                  <c:v>0.85899999999999999</c:v>
                </c:pt>
                <c:pt idx="4">
                  <c:v>0.70399999999999996</c:v>
                </c:pt>
                <c:pt idx="5">
                  <c:v>0.84399999999999997</c:v>
                </c:pt>
                <c:pt idx="6">
                  <c:v>0.625</c:v>
                </c:pt>
                <c:pt idx="7">
                  <c:v>0.59699999999999998</c:v>
                </c:pt>
                <c:pt idx="8">
                  <c:v>0.63800000000000001</c:v>
                </c:pt>
                <c:pt idx="9">
                  <c:v>0.85499999999999998</c:v>
                </c:pt>
                <c:pt idx="10">
                  <c:v>0.57899999999999996</c:v>
                </c:pt>
                <c:pt idx="11">
                  <c:v>0.66700000000000004</c:v>
                </c:pt>
                <c:pt idx="12">
                  <c:v>0.81299999999999994</c:v>
                </c:pt>
                <c:pt idx="13">
                  <c:v>0.83199999999999996</c:v>
                </c:pt>
                <c:pt idx="14">
                  <c:v>0.82</c:v>
                </c:pt>
                <c:pt idx="15">
                  <c:v>0.39</c:v>
                </c:pt>
                <c:pt idx="16">
                  <c:v>0.66700000000000004</c:v>
                </c:pt>
                <c:pt idx="17">
                  <c:v>0.53200000000000003</c:v>
                </c:pt>
                <c:pt idx="18">
                  <c:v>0.69199999999999995</c:v>
                </c:pt>
                <c:pt idx="19">
                  <c:v>0.82299999999999995</c:v>
                </c:pt>
                <c:pt idx="20">
                  <c:v>0.85299999999999998</c:v>
                </c:pt>
                <c:pt idx="21">
                  <c:v>0.442</c:v>
                </c:pt>
                <c:pt idx="22">
                  <c:v>0.66700000000000004</c:v>
                </c:pt>
                <c:pt idx="23">
                  <c:v>0.754</c:v>
                </c:pt>
                <c:pt idx="24">
                  <c:v>0.84599999999999997</c:v>
                </c:pt>
                <c:pt idx="25">
                  <c:v>0.82299999999999995</c:v>
                </c:pt>
                <c:pt idx="26">
                  <c:v>0.63200000000000001</c:v>
                </c:pt>
                <c:pt idx="27">
                  <c:v>0.82399999999999995</c:v>
                </c:pt>
                <c:pt idx="28">
                  <c:v>0.73399999999999999</c:v>
                </c:pt>
                <c:pt idx="29">
                  <c:v>0.65100000000000002</c:v>
                </c:pt>
                <c:pt idx="30">
                  <c:v>0.82299999999999995</c:v>
                </c:pt>
                <c:pt idx="31">
                  <c:v>0.69899999999999995</c:v>
                </c:pt>
                <c:pt idx="32">
                  <c:v>0.45200000000000001</c:v>
                </c:pt>
                <c:pt idx="33">
                  <c:v>0.749</c:v>
                </c:pt>
                <c:pt idx="34">
                  <c:v>0.84599999999999997</c:v>
                </c:pt>
                <c:pt idx="35">
                  <c:v>0.66100000000000003</c:v>
                </c:pt>
                <c:pt idx="36">
                  <c:v>0.75</c:v>
                </c:pt>
                <c:pt idx="37">
                  <c:v>0.60599999999999998</c:v>
                </c:pt>
                <c:pt idx="38">
                  <c:v>0.82399999999999995</c:v>
                </c:pt>
                <c:pt idx="39">
                  <c:v>0.70599999999999996</c:v>
                </c:pt>
                <c:pt idx="40">
                  <c:v>0.61199999999999999</c:v>
                </c:pt>
                <c:pt idx="41">
                  <c:v>0.58699999999999997</c:v>
                </c:pt>
                <c:pt idx="42">
                  <c:v>0.81599999999999995</c:v>
                </c:pt>
                <c:pt idx="43">
                  <c:v>0.68600000000000005</c:v>
                </c:pt>
                <c:pt idx="44">
                  <c:v>0.84099999999999997</c:v>
                </c:pt>
                <c:pt idx="45">
                  <c:v>0.81399999999999995</c:v>
                </c:pt>
                <c:pt idx="46">
                  <c:v>0.81599999999999995</c:v>
                </c:pt>
                <c:pt idx="47">
                  <c:v>0.73699999999999999</c:v>
                </c:pt>
                <c:pt idx="48">
                  <c:v>0.51</c:v>
                </c:pt>
                <c:pt idx="49">
                  <c:v>0.64200000000000002</c:v>
                </c:pt>
                <c:pt idx="50">
                  <c:v>0.57599999999999996</c:v>
                </c:pt>
                <c:pt idx="51">
                  <c:v>0.81</c:v>
                </c:pt>
                <c:pt idx="52">
                  <c:v>0.76700000000000002</c:v>
                </c:pt>
                <c:pt idx="53">
                  <c:v>0.76100000000000001</c:v>
                </c:pt>
                <c:pt idx="54">
                  <c:v>0.83499999999999996</c:v>
                </c:pt>
                <c:pt idx="55">
                  <c:v>0.53200000000000003</c:v>
                </c:pt>
                <c:pt idx="56">
                  <c:v>0.69699999999999995</c:v>
                </c:pt>
                <c:pt idx="57">
                  <c:v>0.42099999999999999</c:v>
                </c:pt>
                <c:pt idx="58">
                  <c:v>0.52500000000000002</c:v>
                </c:pt>
                <c:pt idx="59">
                  <c:v>0.80100000000000005</c:v>
                </c:pt>
                <c:pt idx="60">
                  <c:v>0.63100000000000001</c:v>
                </c:pt>
                <c:pt idx="61">
                  <c:v>0.63</c:v>
                </c:pt>
                <c:pt idx="62">
                  <c:v>0.77500000000000002</c:v>
                </c:pt>
                <c:pt idx="63">
                  <c:v>0.61899999999999999</c:v>
                </c:pt>
                <c:pt idx="64">
                  <c:v>0.76100000000000001</c:v>
                </c:pt>
                <c:pt idx="65">
                  <c:v>0.82799999999999996</c:v>
                </c:pt>
                <c:pt idx="66">
                  <c:v>0.72599999999999998</c:v>
                </c:pt>
                <c:pt idx="67">
                  <c:v>0.82499999999999996</c:v>
                </c:pt>
                <c:pt idx="68">
                  <c:v>0.81299999999999994</c:v>
                </c:pt>
                <c:pt idx="69">
                  <c:v>0.68400000000000005</c:v>
                </c:pt>
                <c:pt idx="70">
                  <c:v>0.66900000000000004</c:v>
                </c:pt>
                <c:pt idx="71">
                  <c:v>0.81299999999999994</c:v>
                </c:pt>
                <c:pt idx="72">
                  <c:v>0.34699999999999998</c:v>
                </c:pt>
                <c:pt idx="73">
                  <c:v>0.84599999999999997</c:v>
                </c:pt>
                <c:pt idx="74">
                  <c:v>0.64300000000000002</c:v>
                </c:pt>
                <c:pt idx="75">
                  <c:v>0.79300000000000004</c:v>
                </c:pt>
                <c:pt idx="76">
                  <c:v>0.64700000000000002</c:v>
                </c:pt>
                <c:pt idx="77">
                  <c:v>0.72099999999999997</c:v>
                </c:pt>
                <c:pt idx="78">
                  <c:v>0.68400000000000005</c:v>
                </c:pt>
                <c:pt idx="79">
                  <c:v>0.41599999999999998</c:v>
                </c:pt>
                <c:pt idx="80">
                  <c:v>0.54700000000000004</c:v>
                </c:pt>
                <c:pt idx="81">
                  <c:v>0.81699999999999995</c:v>
                </c:pt>
                <c:pt idx="82">
                  <c:v>0.84199999999999997</c:v>
                </c:pt>
                <c:pt idx="83">
                  <c:v>0.60499999999999998</c:v>
                </c:pt>
                <c:pt idx="84">
                  <c:v>0.61699999999999999</c:v>
                </c:pt>
                <c:pt idx="85">
                  <c:v>0.70099999999999996</c:v>
                </c:pt>
                <c:pt idx="86">
                  <c:v>0.53500000000000003</c:v>
                </c:pt>
                <c:pt idx="87">
                  <c:v>0.374</c:v>
                </c:pt>
                <c:pt idx="88">
                  <c:v>0.82299999999999995</c:v>
                </c:pt>
                <c:pt idx="89">
                  <c:v>0.64100000000000001</c:v>
                </c:pt>
                <c:pt idx="90">
                  <c:v>0.81699999999999995</c:v>
                </c:pt>
                <c:pt idx="91">
                  <c:v>0.50700000000000001</c:v>
                </c:pt>
                <c:pt idx="92">
                  <c:v>0.53100000000000003</c:v>
                </c:pt>
                <c:pt idx="93">
                  <c:v>0.83199999999999996</c:v>
                </c:pt>
                <c:pt idx="94">
                  <c:v>0.85299999999999998</c:v>
                </c:pt>
                <c:pt idx="95">
                  <c:v>0.78200000000000003</c:v>
                </c:pt>
                <c:pt idx="96">
                  <c:v>0.76800000000000002</c:v>
                </c:pt>
                <c:pt idx="97">
                  <c:v>0.78100000000000003</c:v>
                </c:pt>
                <c:pt idx="98">
                  <c:v>0.83899999999999997</c:v>
                </c:pt>
                <c:pt idx="99">
                  <c:v>0.81599999999999995</c:v>
                </c:pt>
                <c:pt idx="100">
                  <c:v>0.86</c:v>
                </c:pt>
                <c:pt idx="101">
                  <c:v>0.56599999999999995</c:v>
                </c:pt>
                <c:pt idx="102">
                  <c:v>0.65200000000000002</c:v>
                </c:pt>
                <c:pt idx="103">
                  <c:v>0.82399999999999995</c:v>
                </c:pt>
                <c:pt idx="104">
                  <c:v>0.75900000000000001</c:v>
                </c:pt>
                <c:pt idx="105">
                  <c:v>0.73699999999999999</c:v>
                </c:pt>
                <c:pt idx="106">
                  <c:v>0.46700000000000003</c:v>
                </c:pt>
                <c:pt idx="107">
                  <c:v>0.72899999999999998</c:v>
                </c:pt>
                <c:pt idx="108">
                  <c:v>0.68100000000000005</c:v>
                </c:pt>
                <c:pt idx="109">
                  <c:v>0.79</c:v>
                </c:pt>
                <c:pt idx="110">
                  <c:v>0.64500000000000002</c:v>
                </c:pt>
                <c:pt idx="111">
                  <c:v>0.433</c:v>
                </c:pt>
                <c:pt idx="112">
                  <c:v>0.85299999999999998</c:v>
                </c:pt>
                <c:pt idx="113">
                  <c:v>0.85</c:v>
                </c:pt>
                <c:pt idx="114">
                  <c:v>0.61</c:v>
                </c:pt>
                <c:pt idx="115">
                  <c:v>0.45800000000000002</c:v>
                </c:pt>
                <c:pt idx="116">
                  <c:v>0.81100000000000005</c:v>
                </c:pt>
                <c:pt idx="117">
                  <c:v>0.85299999999999998</c:v>
                </c:pt>
                <c:pt idx="118">
                  <c:v>0.52</c:v>
                </c:pt>
                <c:pt idx="119">
                  <c:v>0.60399999999999998</c:v>
                </c:pt>
                <c:pt idx="120">
                  <c:v>0.85</c:v>
                </c:pt>
                <c:pt idx="121">
                  <c:v>0.502</c:v>
                </c:pt>
                <c:pt idx="122">
                  <c:v>0.64500000000000002</c:v>
                </c:pt>
                <c:pt idx="123">
                  <c:v>0.60199999999999998</c:v>
                </c:pt>
                <c:pt idx="124">
                  <c:v>0.67600000000000005</c:v>
                </c:pt>
                <c:pt idx="125">
                  <c:v>0.745</c:v>
                </c:pt>
                <c:pt idx="126">
                  <c:v>0.65500000000000003</c:v>
                </c:pt>
                <c:pt idx="127">
                  <c:v>0.45200000000000001</c:v>
                </c:pt>
                <c:pt idx="128">
                  <c:v>0.86099999999999999</c:v>
                </c:pt>
                <c:pt idx="129">
                  <c:v>0.85899999999999999</c:v>
                </c:pt>
                <c:pt idx="130">
                  <c:v>0.81699999999999995</c:v>
                </c:pt>
                <c:pt idx="131">
                  <c:v>0.67600000000000005</c:v>
                </c:pt>
                <c:pt idx="132">
                  <c:v>0.84299999999999997</c:v>
                </c:pt>
                <c:pt idx="133">
                  <c:v>0.79300000000000004</c:v>
                </c:pt>
                <c:pt idx="134">
                  <c:v>0.64600000000000002</c:v>
                </c:pt>
                <c:pt idx="135">
                  <c:v>0.66300000000000003</c:v>
                </c:pt>
                <c:pt idx="136">
                  <c:v>0.77500000000000002</c:v>
                </c:pt>
                <c:pt idx="137">
                  <c:v>0.81399999999999995</c:v>
                </c:pt>
                <c:pt idx="138">
                  <c:v>0.59299999999999997</c:v>
                </c:pt>
                <c:pt idx="139">
                  <c:v>0.82</c:v>
                </c:pt>
                <c:pt idx="140">
                  <c:v>0.48599999999999999</c:v>
                </c:pt>
                <c:pt idx="141">
                  <c:v>0.56299999999999994</c:v>
                </c:pt>
                <c:pt idx="142">
                  <c:v>0.81399999999999995</c:v>
                </c:pt>
                <c:pt idx="143">
                  <c:v>0.67100000000000004</c:v>
                </c:pt>
                <c:pt idx="144">
                  <c:v>0.57099999999999995</c:v>
                </c:pt>
                <c:pt idx="145">
                  <c:v>0.65800000000000003</c:v>
                </c:pt>
                <c:pt idx="146">
                  <c:v>0.59</c:v>
                </c:pt>
                <c:pt idx="147">
                  <c:v>0.63</c:v>
                </c:pt>
                <c:pt idx="148">
                  <c:v>0.59</c:v>
                </c:pt>
                <c:pt idx="149">
                  <c:v>0.46400000000000002</c:v>
                </c:pt>
                <c:pt idx="150">
                  <c:v>0.71299999999999997</c:v>
                </c:pt>
                <c:pt idx="151">
                  <c:v>0.72599999999999998</c:v>
                </c:pt>
                <c:pt idx="152">
                  <c:v>0.8</c:v>
                </c:pt>
                <c:pt idx="153">
                  <c:v>0.72799999999999998</c:v>
                </c:pt>
                <c:pt idx="154">
                  <c:v>0.68700000000000006</c:v>
                </c:pt>
                <c:pt idx="155">
                  <c:v>0.79</c:v>
                </c:pt>
                <c:pt idx="156">
                  <c:v>0.59199999999999997</c:v>
                </c:pt>
                <c:pt idx="157">
                  <c:v>0.61899999999999999</c:v>
                </c:pt>
                <c:pt idx="158">
                  <c:v>0.54</c:v>
                </c:pt>
                <c:pt idx="159">
                  <c:v>0.74299999999999999</c:v>
                </c:pt>
                <c:pt idx="160">
                  <c:v>0.63500000000000001</c:v>
                </c:pt>
                <c:pt idx="161">
                  <c:v>0.61</c:v>
                </c:pt>
                <c:pt idx="162">
                  <c:v>0.56799999999999995</c:v>
                </c:pt>
                <c:pt idx="163">
                  <c:v>0.80100000000000005</c:v>
                </c:pt>
                <c:pt idx="164">
                  <c:v>0.72299999999999998</c:v>
                </c:pt>
                <c:pt idx="165">
                  <c:v>0.69499999999999995</c:v>
                </c:pt>
                <c:pt idx="166">
                  <c:v>0.45500000000000002</c:v>
                </c:pt>
                <c:pt idx="167">
                  <c:v>0.78600000000000003</c:v>
                </c:pt>
                <c:pt idx="168">
                  <c:v>0.627</c:v>
                </c:pt>
                <c:pt idx="169">
                  <c:v>0.82299999999999995</c:v>
                </c:pt>
                <c:pt idx="170">
                  <c:v>0.69899999999999995</c:v>
                </c:pt>
                <c:pt idx="171">
                  <c:v>0.82299999999999995</c:v>
                </c:pt>
                <c:pt idx="172">
                  <c:v>0.59199999999999997</c:v>
                </c:pt>
                <c:pt idx="173">
                  <c:v>0.65600000000000003</c:v>
                </c:pt>
                <c:pt idx="174">
                  <c:v>0.47599999999999998</c:v>
                </c:pt>
                <c:pt idx="175">
                  <c:v>0.61799999999999999</c:v>
                </c:pt>
                <c:pt idx="176">
                  <c:v>0.8</c:v>
                </c:pt>
                <c:pt idx="177">
                  <c:v>0.59199999999999997</c:v>
                </c:pt>
                <c:pt idx="178">
                  <c:v>0.5</c:v>
                </c:pt>
                <c:pt idx="179">
                  <c:v>0.60499999999999998</c:v>
                </c:pt>
                <c:pt idx="180">
                  <c:v>0.747</c:v>
                </c:pt>
                <c:pt idx="181">
                  <c:v>0.624</c:v>
                </c:pt>
                <c:pt idx="182">
                  <c:v>0.64600000000000002</c:v>
                </c:pt>
                <c:pt idx="183">
                  <c:v>0.72899999999999998</c:v>
                </c:pt>
                <c:pt idx="184">
                  <c:v>0.57899999999999996</c:v>
                </c:pt>
                <c:pt idx="185">
                  <c:v>0.63300000000000001</c:v>
                </c:pt>
                <c:pt idx="186">
                  <c:v>0.61299999999999999</c:v>
                </c:pt>
                <c:pt idx="187">
                  <c:v>0.82399999999999995</c:v>
                </c:pt>
                <c:pt idx="188">
                  <c:v>0.51100000000000001</c:v>
                </c:pt>
                <c:pt idx="189">
                  <c:v>0.79200000000000004</c:v>
                </c:pt>
                <c:pt idx="190">
                  <c:v>0.67200000000000004</c:v>
                </c:pt>
                <c:pt idx="191">
                  <c:v>0.70799999999999996</c:v>
                </c:pt>
                <c:pt idx="192">
                  <c:v>0.42899999999999999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52-4FCF-A36C-8CD913921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320367"/>
        <c:axId val="1559318447"/>
      </c:scatterChart>
      <c:valAx>
        <c:axId val="155932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9318447"/>
        <c:crosses val="autoZero"/>
        <c:crossBetween val="midCat"/>
      </c:valAx>
      <c:valAx>
        <c:axId val="155931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9320367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Resposta!$I$13</c:f>
              <c:strCache>
                <c:ptCount val="1"/>
                <c:pt idx="0">
                  <c:v>% &gt; média 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Resposta!$G$14:$G$19</c:f>
              <c:strCache>
                <c:ptCount val="6"/>
                <c:pt idx="0">
                  <c:v>South America</c:v>
                </c:pt>
                <c:pt idx="1">
                  <c:v>Europe</c:v>
                </c:pt>
                <c:pt idx="2">
                  <c:v>Oceania</c:v>
                </c:pt>
                <c:pt idx="3">
                  <c:v>Asia</c:v>
                </c:pt>
                <c:pt idx="4">
                  <c:v>Africa</c:v>
                </c:pt>
                <c:pt idx="5">
                  <c:v>North America</c:v>
                </c:pt>
              </c:strCache>
            </c:strRef>
          </c:cat>
          <c:val>
            <c:numRef>
              <c:f>Resposta!$I$14:$I$19</c:f>
              <c:numCache>
                <c:formatCode>0.0%</c:formatCode>
                <c:ptCount val="6"/>
                <c:pt idx="0">
                  <c:v>0.64516129032258063</c:v>
                </c:pt>
                <c:pt idx="1">
                  <c:v>0.54545454545454541</c:v>
                </c:pt>
                <c:pt idx="2">
                  <c:v>0.54166666666666663</c:v>
                </c:pt>
                <c:pt idx="3">
                  <c:v>0.5357142857142857</c:v>
                </c:pt>
                <c:pt idx="4">
                  <c:v>0.44444444444444442</c:v>
                </c:pt>
                <c:pt idx="5">
                  <c:v>0.35897435897435898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1-434A-AAC0-ACC7F578E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152095"/>
        <c:axId val="1851150655"/>
      </c:barChart>
      <c:catAx>
        <c:axId val="185115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1150655"/>
        <c:crosses val="autoZero"/>
        <c:auto val="1"/>
        <c:lblAlgn val="ctr"/>
        <c:lblOffset val="100"/>
        <c:noMultiLvlLbl val="0"/>
      </c:catAx>
      <c:valAx>
        <c:axId val="18511506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11520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15</xdr:row>
      <xdr:rowOff>100012</xdr:rowOff>
    </xdr:from>
    <xdr:to>
      <xdr:col>19</xdr:col>
      <xdr:colOff>47625</xdr:colOff>
      <xdr:row>29</xdr:row>
      <xdr:rowOff>176212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0F33ADE-BE3B-F1B6-DF60-7ADF71E85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361950</xdr:colOff>
      <xdr:row>0</xdr:row>
      <xdr:rowOff>28575</xdr:rowOff>
    </xdr:from>
    <xdr:to>
      <xdr:col>19</xdr:col>
      <xdr:colOff>57150</xdr:colOff>
      <xdr:row>14</xdr:row>
      <xdr:rowOff>104775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86827FE-C413-4241-97B3-41116BE2A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523875</xdr:colOff>
      <xdr:row>19</xdr:row>
      <xdr:rowOff>138112</xdr:rowOff>
    </xdr:from>
    <xdr:to>
      <xdr:col>10</xdr:col>
      <xdr:colOff>247650</xdr:colOff>
      <xdr:row>34</xdr:row>
      <xdr:rowOff>23812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C09C516-B93F-D938-1DBA-E3E3CDAF4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"/>
  <sheetViews>
    <sheetView tabSelected="1" workbookViewId="0">
      <selection activeCell="J15" sqref="J15"/>
    </sheetView>
  </sheetViews>
  <sheetFormatPr defaultRowHeight="15" x14ac:dyDescent="0.25"/>
  <cols>
    <col min="1" max="1" width="15.5703125" style="3" bestFit="1" customWidth="1"/>
    <col min="2" max="2" width="28.28515625" style="3" customWidth="1"/>
    <col min="3" max="3" width="10" customWidth="1"/>
    <col min="4" max="4" width="32.5703125" bestFit="1" customWidth="1"/>
    <col min="5" max="5" width="20.85546875" bestFit="1" customWidth="1"/>
    <col min="7" max="7" width="15.5703125" style="3" bestFit="1" customWidth="1"/>
    <col min="8" max="8" width="22.85546875" bestFit="1" customWidth="1"/>
    <col min="9" max="9" width="16" bestFit="1" customWidth="1"/>
  </cols>
  <sheetData>
    <row r="1" spans="1:10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G1" s="16" t="s">
        <v>0</v>
      </c>
      <c r="H1" s="17" t="s">
        <v>205</v>
      </c>
      <c r="I1" s="18" t="s">
        <v>208</v>
      </c>
    </row>
    <row r="2" spans="1:10" x14ac:dyDescent="0.25">
      <c r="A2" s="3" t="s">
        <v>12</v>
      </c>
      <c r="B2" s="3" t="s">
        <v>85</v>
      </c>
      <c r="C2">
        <v>0.73299999999999998</v>
      </c>
      <c r="D2">
        <v>10.3</v>
      </c>
      <c r="E2">
        <v>76654</v>
      </c>
      <c r="G2" s="8" t="s">
        <v>10</v>
      </c>
      <c r="H2" s="14">
        <f>AVERAGEIF(A:A,G2,C:C)</f>
        <v>0.71219354838709681</v>
      </c>
      <c r="I2" s="10">
        <f>COUNTIF(A:A,G2)</f>
        <v>31</v>
      </c>
    </row>
    <row r="3" spans="1:10" x14ac:dyDescent="0.25">
      <c r="A3" s="3" t="s">
        <v>6</v>
      </c>
      <c r="B3" s="3" t="s">
        <v>202</v>
      </c>
      <c r="C3">
        <v>0.82</v>
      </c>
      <c r="D3">
        <v>12.3</v>
      </c>
      <c r="E3">
        <v>142759</v>
      </c>
      <c r="G3" s="8" t="s">
        <v>6</v>
      </c>
      <c r="H3" s="14">
        <f>AVERAGEIF(A:A,G3,C:C)</f>
        <v>0.69521428571428567</v>
      </c>
      <c r="I3" s="10">
        <f t="shared" ref="I3:I7" si="0">COUNTIF(A:A,G3)</f>
        <v>28</v>
      </c>
    </row>
    <row r="4" spans="1:10" x14ac:dyDescent="0.25">
      <c r="A4" s="3" t="s">
        <v>15</v>
      </c>
      <c r="B4" s="3" t="s">
        <v>63</v>
      </c>
      <c r="C4">
        <v>0.80900000000000005</v>
      </c>
      <c r="D4">
        <v>12.2</v>
      </c>
      <c r="E4">
        <v>113165</v>
      </c>
      <c r="G4" s="8" t="s">
        <v>12</v>
      </c>
      <c r="H4" s="14">
        <f>AVERAGEIF(A:A,G4,C:C)</f>
        <v>0.68865909090909083</v>
      </c>
      <c r="I4" s="10">
        <f t="shared" si="0"/>
        <v>44</v>
      </c>
    </row>
    <row r="5" spans="1:10" x14ac:dyDescent="0.25">
      <c r="A5" s="3" t="s">
        <v>12</v>
      </c>
      <c r="B5" s="3" t="s">
        <v>35</v>
      </c>
      <c r="C5">
        <v>0.85899999999999999</v>
      </c>
      <c r="D5">
        <v>13.1</v>
      </c>
      <c r="E5">
        <v>136649</v>
      </c>
      <c r="G5" s="8" t="s">
        <v>5</v>
      </c>
      <c r="H5" s="14">
        <f>AVERAGEIF(A:A,G5,C:C)</f>
        <v>0.68704166666666688</v>
      </c>
      <c r="I5" s="10">
        <f t="shared" si="0"/>
        <v>24</v>
      </c>
    </row>
    <row r="6" spans="1:10" x14ac:dyDescent="0.25">
      <c r="A6" s="3" t="s">
        <v>15</v>
      </c>
      <c r="B6" s="3" t="s">
        <v>97</v>
      </c>
      <c r="C6">
        <v>0.70399999999999996</v>
      </c>
      <c r="D6">
        <v>10.6</v>
      </c>
      <c r="E6">
        <v>66463</v>
      </c>
      <c r="G6" s="8" t="s">
        <v>8</v>
      </c>
      <c r="H6" s="14">
        <f>AVERAGEIF(A:A,G6,C:C)</f>
        <v>0.67681481481481498</v>
      </c>
      <c r="I6" s="10">
        <f t="shared" si="0"/>
        <v>27</v>
      </c>
    </row>
    <row r="7" spans="1:10" x14ac:dyDescent="0.25">
      <c r="A7" s="3" t="s">
        <v>10</v>
      </c>
      <c r="B7" s="3" t="s">
        <v>14</v>
      </c>
      <c r="C7">
        <v>0.84399999999999997</v>
      </c>
      <c r="D7">
        <v>12.4</v>
      </c>
      <c r="E7">
        <v>142401</v>
      </c>
      <c r="G7" s="9" t="s">
        <v>15</v>
      </c>
      <c r="H7" s="15">
        <f>AVERAGEIF(A:A,G7,C:C)</f>
        <v>0.67366666666666664</v>
      </c>
      <c r="I7" s="11">
        <f t="shared" si="0"/>
        <v>39</v>
      </c>
    </row>
    <row r="8" spans="1:10" x14ac:dyDescent="0.25">
      <c r="A8" s="3" t="s">
        <v>12</v>
      </c>
      <c r="B8" s="3" t="s">
        <v>130</v>
      </c>
      <c r="C8">
        <v>0.625</v>
      </c>
      <c r="D8">
        <v>9.3000000000000007</v>
      </c>
      <c r="E8">
        <v>43987</v>
      </c>
      <c r="G8"/>
      <c r="H8" s="7"/>
    </row>
    <row r="9" spans="1:10" x14ac:dyDescent="0.25">
      <c r="A9" s="3" t="s">
        <v>15</v>
      </c>
      <c r="B9" s="3" t="s">
        <v>146</v>
      </c>
      <c r="C9">
        <v>0.59699999999999998</v>
      </c>
      <c r="D9">
        <v>8.6999999999999993</v>
      </c>
      <c r="E9">
        <v>36238</v>
      </c>
      <c r="G9"/>
      <c r="H9" s="7"/>
    </row>
    <row r="10" spans="1:10" x14ac:dyDescent="0.25">
      <c r="A10" s="3" t="s">
        <v>6</v>
      </c>
      <c r="B10" s="3" t="s">
        <v>121</v>
      </c>
      <c r="C10">
        <v>0.63800000000000001</v>
      </c>
      <c r="D10">
        <v>9.9</v>
      </c>
      <c r="E10">
        <v>47632</v>
      </c>
      <c r="G10" s="12" t="s">
        <v>206</v>
      </c>
      <c r="H10" s="13">
        <f>AVERAGE(C:C)</f>
        <v>0.688502590673575</v>
      </c>
    </row>
    <row r="11" spans="1:10" x14ac:dyDescent="0.25">
      <c r="A11" s="3" t="s">
        <v>15</v>
      </c>
      <c r="B11" s="3" t="s">
        <v>39</v>
      </c>
      <c r="C11">
        <v>0.85499999999999998</v>
      </c>
      <c r="D11">
        <v>12.9</v>
      </c>
      <c r="E11">
        <v>126087</v>
      </c>
      <c r="G11"/>
      <c r="H11" s="7"/>
    </row>
    <row r="12" spans="1:10" x14ac:dyDescent="0.25">
      <c r="A12" s="3" t="s">
        <v>12</v>
      </c>
      <c r="B12" s="3" t="s">
        <v>155</v>
      </c>
      <c r="C12">
        <v>0.57899999999999996</v>
      </c>
      <c r="D12">
        <v>8.8000000000000007</v>
      </c>
      <c r="E12">
        <v>32282</v>
      </c>
      <c r="G12"/>
      <c r="H12" s="7"/>
    </row>
    <row r="13" spans="1:10" x14ac:dyDescent="0.25">
      <c r="A13" s="3" t="s">
        <v>8</v>
      </c>
      <c r="B13" s="3" t="s">
        <v>112</v>
      </c>
      <c r="C13">
        <v>0.66700000000000004</v>
      </c>
      <c r="D13">
        <v>9.4</v>
      </c>
      <c r="E13">
        <v>53637</v>
      </c>
      <c r="G13" s="16" t="s">
        <v>0</v>
      </c>
      <c r="H13" s="17" t="s">
        <v>207</v>
      </c>
      <c r="I13" s="24" t="s">
        <v>209</v>
      </c>
    </row>
    <row r="14" spans="1:10" x14ac:dyDescent="0.25">
      <c r="A14" s="3" t="s">
        <v>12</v>
      </c>
      <c r="B14" s="3" t="s">
        <v>52</v>
      </c>
      <c r="C14">
        <v>0.81299999999999994</v>
      </c>
      <c r="D14">
        <v>12.4</v>
      </c>
      <c r="E14">
        <v>133291</v>
      </c>
      <c r="G14" s="8" t="s">
        <v>10</v>
      </c>
      <c r="H14" s="20">
        <f>COUNTIFS(A:A,G14,C:C,"&gt;"&amp;$H$10)</f>
        <v>20</v>
      </c>
      <c r="I14" s="21">
        <f>H14/(VLOOKUP(G14,$G$2:$I$7,3,0))</f>
        <v>0.64516129032258063</v>
      </c>
      <c r="J14" s="19"/>
    </row>
    <row r="15" spans="1:10" x14ac:dyDescent="0.25">
      <c r="A15" s="3" t="s">
        <v>12</v>
      </c>
      <c r="B15" s="3" t="s">
        <v>24</v>
      </c>
      <c r="C15">
        <v>0.83199999999999996</v>
      </c>
      <c r="D15">
        <v>12.5</v>
      </c>
      <c r="E15">
        <v>126087</v>
      </c>
      <c r="G15" s="8" t="s">
        <v>12</v>
      </c>
      <c r="H15" s="20">
        <f>COUNTIFS(A:A,G15,C:C,"&gt;"&amp;$H$10)</f>
        <v>24</v>
      </c>
      <c r="I15" s="21">
        <f>H15/(VLOOKUP(G15,$G$2:$I$7,3,0))</f>
        <v>0.54545454545454541</v>
      </c>
      <c r="J15" s="19"/>
    </row>
    <row r="16" spans="1:10" x14ac:dyDescent="0.25">
      <c r="A16" s="3" t="s">
        <v>15</v>
      </c>
      <c r="B16" s="3" t="s">
        <v>42</v>
      </c>
      <c r="C16">
        <v>0.82</v>
      </c>
      <c r="D16">
        <v>13.1</v>
      </c>
      <c r="E16">
        <v>120124</v>
      </c>
      <c r="G16" s="8" t="s">
        <v>5</v>
      </c>
      <c r="H16" s="20">
        <f>COUNTIFS(A:A,G16,C:C,"&gt;"&amp;$H$10)</f>
        <v>13</v>
      </c>
      <c r="I16" s="21">
        <f>H16/(VLOOKUP(G16,$G$2:$I$7,3,0))</f>
        <v>0.54166666666666663</v>
      </c>
      <c r="J16" s="19"/>
    </row>
    <row r="17" spans="1:10" x14ac:dyDescent="0.25">
      <c r="A17" s="3" t="s">
        <v>5</v>
      </c>
      <c r="B17" s="3" t="s">
        <v>187</v>
      </c>
      <c r="C17">
        <v>0.39</v>
      </c>
      <c r="D17">
        <v>5.3</v>
      </c>
      <c r="E17">
        <v>9305</v>
      </c>
      <c r="G17" s="8" t="s">
        <v>6</v>
      </c>
      <c r="H17" s="20">
        <f>COUNTIFS(A:A,G17,C:C,"&gt;"&amp;$H$10)</f>
        <v>15</v>
      </c>
      <c r="I17" s="21">
        <f>H17/(VLOOKUP(G17,$G$2:$I$7,3,0))</f>
        <v>0.5357142857142857</v>
      </c>
      <c r="J17" s="19"/>
    </row>
    <row r="18" spans="1:10" x14ac:dyDescent="0.25">
      <c r="A18" s="3" t="s">
        <v>12</v>
      </c>
      <c r="B18" s="3" t="s">
        <v>98</v>
      </c>
      <c r="C18">
        <v>0.66700000000000004</v>
      </c>
      <c r="D18">
        <v>10.8</v>
      </c>
      <c r="E18">
        <v>65961</v>
      </c>
      <c r="G18" s="8" t="s">
        <v>8</v>
      </c>
      <c r="H18" s="20">
        <f>COUNTIFS(A:A,G18,C:C,"&gt;"&amp;$H$10)</f>
        <v>12</v>
      </c>
      <c r="I18" s="21">
        <f>H18/(VLOOKUP(G18,$G$2:$I$7,3,0))</f>
        <v>0.44444444444444442</v>
      </c>
      <c r="J18" s="19"/>
    </row>
    <row r="19" spans="1:10" x14ac:dyDescent="0.25">
      <c r="A19" s="3" t="s">
        <v>10</v>
      </c>
      <c r="B19" s="3" t="s">
        <v>159</v>
      </c>
      <c r="C19">
        <v>0.53200000000000003</v>
      </c>
      <c r="D19">
        <v>6.4</v>
      </c>
      <c r="E19">
        <v>28503</v>
      </c>
      <c r="G19" s="9" t="s">
        <v>15</v>
      </c>
      <c r="H19" s="22">
        <f>COUNTIFS(A:A,G19,C:C,"&gt;"&amp;$H$10)</f>
        <v>14</v>
      </c>
      <c r="I19" s="23">
        <f>H19/(VLOOKUP(G19,$G$2:$I$7,3,0))</f>
        <v>0.35897435897435898</v>
      </c>
      <c r="J19" s="19"/>
    </row>
    <row r="20" spans="1:10" x14ac:dyDescent="0.25">
      <c r="A20" s="3" t="s">
        <v>12</v>
      </c>
      <c r="B20" s="3" t="s">
        <v>106</v>
      </c>
      <c r="C20">
        <v>0.69199999999999995</v>
      </c>
      <c r="D20">
        <v>10.4</v>
      </c>
      <c r="E20">
        <v>61189</v>
      </c>
      <c r="G20"/>
    </row>
    <row r="21" spans="1:10" x14ac:dyDescent="0.25">
      <c r="A21" s="3" t="s">
        <v>10</v>
      </c>
      <c r="B21" s="3" t="s">
        <v>45</v>
      </c>
      <c r="C21">
        <v>0.82299999999999995</v>
      </c>
      <c r="D21">
        <v>12.3</v>
      </c>
      <c r="E21">
        <v>145194</v>
      </c>
      <c r="G21"/>
    </row>
    <row r="22" spans="1:10" x14ac:dyDescent="0.25">
      <c r="A22" s="3" t="s">
        <v>10</v>
      </c>
      <c r="B22" s="3" t="s">
        <v>189</v>
      </c>
      <c r="C22">
        <v>0.85299999999999998</v>
      </c>
      <c r="D22">
        <v>14.1</v>
      </c>
      <c r="E22">
        <v>126087</v>
      </c>
      <c r="G22"/>
    </row>
    <row r="23" spans="1:10" x14ac:dyDescent="0.25">
      <c r="A23" s="3" t="s">
        <v>8</v>
      </c>
      <c r="B23" s="3" t="s">
        <v>198</v>
      </c>
      <c r="C23">
        <v>0.442</v>
      </c>
      <c r="D23">
        <v>7.3</v>
      </c>
      <c r="E23">
        <v>18426</v>
      </c>
      <c r="G23"/>
    </row>
    <row r="24" spans="1:10" x14ac:dyDescent="0.25">
      <c r="A24" s="3" t="s">
        <v>15</v>
      </c>
      <c r="B24" s="3" t="s">
        <v>108</v>
      </c>
      <c r="C24">
        <v>0.66700000000000004</v>
      </c>
      <c r="D24">
        <v>9.6999999999999993</v>
      </c>
      <c r="E24">
        <v>57382</v>
      </c>
      <c r="G24"/>
    </row>
    <row r="25" spans="1:10" x14ac:dyDescent="0.25">
      <c r="A25" s="3" t="s">
        <v>12</v>
      </c>
      <c r="B25" s="3" t="s">
        <v>71</v>
      </c>
      <c r="C25">
        <v>0.754</v>
      </c>
      <c r="D25">
        <v>11</v>
      </c>
      <c r="E25">
        <v>93174</v>
      </c>
      <c r="G25"/>
    </row>
    <row r="26" spans="1:10" x14ac:dyDescent="0.25">
      <c r="A26" s="3" t="s">
        <v>6</v>
      </c>
      <c r="B26" s="3" t="s">
        <v>7</v>
      </c>
      <c r="C26">
        <v>0.84599999999999997</v>
      </c>
      <c r="D26">
        <v>13.7</v>
      </c>
      <c r="E26">
        <v>146546</v>
      </c>
      <c r="G26"/>
    </row>
    <row r="27" spans="1:10" x14ac:dyDescent="0.25">
      <c r="A27" s="3" t="s">
        <v>12</v>
      </c>
      <c r="B27" s="4" t="s">
        <v>204</v>
      </c>
      <c r="C27">
        <v>0.82299999999999995</v>
      </c>
      <c r="D27">
        <v>13.6</v>
      </c>
      <c r="E27">
        <v>139360</v>
      </c>
      <c r="G27"/>
    </row>
    <row r="28" spans="1:10" x14ac:dyDescent="0.25">
      <c r="A28" s="3" t="s">
        <v>8</v>
      </c>
      <c r="B28" s="3" t="s">
        <v>117</v>
      </c>
      <c r="C28">
        <v>0.63200000000000001</v>
      </c>
      <c r="D28">
        <v>9.9</v>
      </c>
      <c r="E28">
        <v>50191</v>
      </c>
      <c r="G28"/>
    </row>
    <row r="29" spans="1:10" x14ac:dyDescent="0.25">
      <c r="A29" s="3" t="s">
        <v>12</v>
      </c>
      <c r="B29" s="3" t="s">
        <v>30</v>
      </c>
      <c r="C29">
        <v>0.82399999999999995</v>
      </c>
      <c r="D29">
        <v>13.4</v>
      </c>
      <c r="E29">
        <v>145194</v>
      </c>
      <c r="G29"/>
    </row>
    <row r="30" spans="1:10" x14ac:dyDescent="0.25">
      <c r="A30" s="3" t="s">
        <v>12</v>
      </c>
      <c r="B30" s="3" t="s">
        <v>86</v>
      </c>
      <c r="C30">
        <v>0.73399999999999999</v>
      </c>
      <c r="D30">
        <v>11</v>
      </c>
      <c r="E30">
        <v>76412</v>
      </c>
      <c r="G30"/>
    </row>
    <row r="31" spans="1:10" x14ac:dyDescent="0.25">
      <c r="A31" s="3" t="s">
        <v>10</v>
      </c>
      <c r="B31" s="3" t="s">
        <v>131</v>
      </c>
      <c r="C31">
        <v>0.65100000000000002</v>
      </c>
      <c r="D31">
        <v>9.6999999999999993</v>
      </c>
      <c r="E31">
        <v>43526</v>
      </c>
      <c r="G31"/>
    </row>
    <row r="32" spans="1:10" x14ac:dyDescent="0.25">
      <c r="A32" s="3" t="s">
        <v>10</v>
      </c>
      <c r="B32" s="3" t="s">
        <v>51</v>
      </c>
      <c r="C32">
        <v>0.82299999999999995</v>
      </c>
      <c r="D32">
        <v>12.4</v>
      </c>
      <c r="E32">
        <v>134803</v>
      </c>
      <c r="G32"/>
    </row>
    <row r="33" spans="1:7" x14ac:dyDescent="0.25">
      <c r="A33" s="3" t="s">
        <v>6</v>
      </c>
      <c r="B33" s="3" t="s">
        <v>95</v>
      </c>
      <c r="C33">
        <v>0.69899999999999995</v>
      </c>
      <c r="D33">
        <v>9.6999999999999993</v>
      </c>
      <c r="E33">
        <v>67186</v>
      </c>
      <c r="G33"/>
    </row>
    <row r="34" spans="1:7" x14ac:dyDescent="0.25">
      <c r="A34" s="3" t="s">
        <v>8</v>
      </c>
      <c r="B34" s="3" t="s">
        <v>180</v>
      </c>
      <c r="C34">
        <v>0.45200000000000001</v>
      </c>
      <c r="D34">
        <v>6</v>
      </c>
      <c r="E34">
        <v>14047</v>
      </c>
      <c r="G34"/>
    </row>
    <row r="35" spans="1:7" x14ac:dyDescent="0.25">
      <c r="A35" s="3" t="s">
        <v>12</v>
      </c>
      <c r="B35" s="3" t="s">
        <v>74</v>
      </c>
      <c r="C35">
        <v>0.749</v>
      </c>
      <c r="D35">
        <v>11.6</v>
      </c>
      <c r="E35">
        <v>88766</v>
      </c>
      <c r="G35"/>
    </row>
    <row r="36" spans="1:7" x14ac:dyDescent="0.25">
      <c r="A36" s="3" t="s">
        <v>8</v>
      </c>
      <c r="B36" s="3" t="s">
        <v>9</v>
      </c>
      <c r="C36">
        <v>0.84599999999999997</v>
      </c>
      <c r="D36">
        <v>12.4</v>
      </c>
      <c r="E36">
        <v>145194</v>
      </c>
      <c r="G36"/>
    </row>
    <row r="37" spans="1:7" x14ac:dyDescent="0.25">
      <c r="A37" s="3" t="s">
        <v>8</v>
      </c>
      <c r="B37" s="3" t="s">
        <v>110</v>
      </c>
      <c r="C37">
        <v>0.66100000000000003</v>
      </c>
      <c r="D37">
        <v>10.3</v>
      </c>
      <c r="E37">
        <v>55356</v>
      </c>
      <c r="G37"/>
    </row>
    <row r="38" spans="1:7" x14ac:dyDescent="0.25">
      <c r="A38" s="3" t="s">
        <v>10</v>
      </c>
      <c r="B38" s="3" t="s">
        <v>70</v>
      </c>
      <c r="C38">
        <v>0.75</v>
      </c>
      <c r="D38">
        <v>10.8</v>
      </c>
      <c r="E38">
        <v>93215</v>
      </c>
      <c r="G38"/>
    </row>
    <row r="39" spans="1:7" x14ac:dyDescent="0.25">
      <c r="A39" s="3" t="s">
        <v>6</v>
      </c>
      <c r="B39" s="3" t="s">
        <v>149</v>
      </c>
      <c r="C39">
        <v>0.60599999999999998</v>
      </c>
      <c r="D39">
        <v>10</v>
      </c>
      <c r="E39">
        <v>34955</v>
      </c>
      <c r="G39"/>
    </row>
    <row r="40" spans="1:7" x14ac:dyDescent="0.25">
      <c r="A40" s="3" t="s">
        <v>8</v>
      </c>
      <c r="B40" s="3" t="s">
        <v>25</v>
      </c>
      <c r="C40">
        <v>0.82399999999999995</v>
      </c>
      <c r="D40">
        <v>13.8</v>
      </c>
      <c r="E40">
        <v>125516</v>
      </c>
      <c r="G40"/>
    </row>
    <row r="41" spans="1:7" x14ac:dyDescent="0.25">
      <c r="A41" s="3" t="s">
        <v>5</v>
      </c>
      <c r="B41" s="3" t="s">
        <v>92</v>
      </c>
      <c r="C41">
        <v>0.70599999999999996</v>
      </c>
      <c r="D41">
        <v>10.3</v>
      </c>
      <c r="E41">
        <v>68086</v>
      </c>
      <c r="G41"/>
    </row>
    <row r="42" spans="1:7" x14ac:dyDescent="0.25">
      <c r="A42" s="3" t="s">
        <v>12</v>
      </c>
      <c r="B42" s="3" t="s">
        <v>200</v>
      </c>
      <c r="C42">
        <v>0.61199999999999999</v>
      </c>
      <c r="D42">
        <v>8.6999999999999993</v>
      </c>
      <c r="E42">
        <v>37956</v>
      </c>
      <c r="G42"/>
    </row>
    <row r="43" spans="1:7" x14ac:dyDescent="0.25">
      <c r="A43" s="3" t="s">
        <v>12</v>
      </c>
      <c r="B43" s="3" t="s">
        <v>154</v>
      </c>
      <c r="C43">
        <v>0.58699999999999997</v>
      </c>
      <c r="D43">
        <v>7.6</v>
      </c>
      <c r="E43">
        <v>32812</v>
      </c>
      <c r="G43"/>
    </row>
    <row r="44" spans="1:7" x14ac:dyDescent="0.25">
      <c r="A44" s="3" t="s">
        <v>12</v>
      </c>
      <c r="B44" s="3" t="s">
        <v>22</v>
      </c>
      <c r="C44">
        <v>0.81599999999999995</v>
      </c>
      <c r="D44">
        <v>13.4</v>
      </c>
      <c r="E44">
        <v>132108</v>
      </c>
      <c r="G44"/>
    </row>
    <row r="45" spans="1:7" x14ac:dyDescent="0.25">
      <c r="A45" s="3" t="s">
        <v>15</v>
      </c>
      <c r="B45" s="3" t="s">
        <v>105</v>
      </c>
      <c r="C45">
        <v>0.68600000000000005</v>
      </c>
      <c r="D45">
        <v>10.5</v>
      </c>
      <c r="E45">
        <v>61404</v>
      </c>
      <c r="G45"/>
    </row>
    <row r="46" spans="1:7" x14ac:dyDescent="0.25">
      <c r="A46" s="3" t="s">
        <v>6</v>
      </c>
      <c r="B46" s="3" t="s">
        <v>49</v>
      </c>
      <c r="C46">
        <v>0.84099999999999997</v>
      </c>
      <c r="D46">
        <v>12.6</v>
      </c>
      <c r="E46">
        <v>138940</v>
      </c>
      <c r="G46"/>
    </row>
    <row r="47" spans="1:7" x14ac:dyDescent="0.25">
      <c r="A47" s="3" t="s">
        <v>6</v>
      </c>
      <c r="B47" s="3" t="s">
        <v>37</v>
      </c>
      <c r="C47">
        <v>0.81399999999999995</v>
      </c>
      <c r="D47">
        <v>12.9</v>
      </c>
      <c r="E47">
        <v>132108</v>
      </c>
      <c r="G47"/>
    </row>
    <row r="48" spans="1:7" x14ac:dyDescent="0.25">
      <c r="A48" s="3" t="s">
        <v>6</v>
      </c>
      <c r="B48" s="3" t="s">
        <v>50</v>
      </c>
      <c r="C48">
        <v>0.81599999999999995</v>
      </c>
      <c r="D48">
        <v>12.1</v>
      </c>
      <c r="E48">
        <v>136649</v>
      </c>
      <c r="G48"/>
    </row>
    <row r="49" spans="1:7" x14ac:dyDescent="0.25">
      <c r="A49" s="3" t="s">
        <v>12</v>
      </c>
      <c r="B49" s="3" t="s">
        <v>77</v>
      </c>
      <c r="C49">
        <v>0.73699999999999999</v>
      </c>
      <c r="D49">
        <v>11.9</v>
      </c>
      <c r="E49">
        <v>85592</v>
      </c>
      <c r="G49"/>
    </row>
    <row r="50" spans="1:7" x14ac:dyDescent="0.25">
      <c r="A50" s="3" t="s">
        <v>6</v>
      </c>
      <c r="B50" s="3" t="s">
        <v>174</v>
      </c>
      <c r="C50">
        <v>0.51</v>
      </c>
      <c r="D50">
        <v>8.6999999999999993</v>
      </c>
      <c r="E50">
        <v>18204</v>
      </c>
      <c r="G50"/>
    </row>
    <row r="51" spans="1:7" x14ac:dyDescent="0.25">
      <c r="A51" s="3" t="s">
        <v>6</v>
      </c>
      <c r="B51" s="3" t="s">
        <v>128</v>
      </c>
      <c r="C51">
        <v>0.64200000000000002</v>
      </c>
      <c r="D51">
        <v>9.4</v>
      </c>
      <c r="E51">
        <v>44770</v>
      </c>
      <c r="G51"/>
    </row>
    <row r="52" spans="1:7" x14ac:dyDescent="0.25">
      <c r="A52" s="3" t="s">
        <v>15</v>
      </c>
      <c r="B52" s="3" t="s">
        <v>147</v>
      </c>
      <c r="C52">
        <v>0.57599999999999996</v>
      </c>
      <c r="D52">
        <v>9.3000000000000007</v>
      </c>
      <c r="E52">
        <v>36163</v>
      </c>
      <c r="G52"/>
    </row>
    <row r="53" spans="1:7" x14ac:dyDescent="0.25">
      <c r="A53" s="3" t="s">
        <v>12</v>
      </c>
      <c r="B53" s="3" t="s">
        <v>57</v>
      </c>
      <c r="C53">
        <v>0.81</v>
      </c>
      <c r="D53">
        <v>11.5</v>
      </c>
      <c r="E53">
        <v>120124</v>
      </c>
      <c r="G53"/>
    </row>
    <row r="54" spans="1:7" x14ac:dyDescent="0.25">
      <c r="A54" s="3" t="s">
        <v>5</v>
      </c>
      <c r="B54" s="3" t="s">
        <v>69</v>
      </c>
      <c r="C54">
        <v>0.76700000000000002</v>
      </c>
      <c r="D54">
        <v>11.6</v>
      </c>
      <c r="E54">
        <v>95695</v>
      </c>
      <c r="G54"/>
    </row>
    <row r="55" spans="1:7" x14ac:dyDescent="0.25">
      <c r="A55" s="3" t="s">
        <v>5</v>
      </c>
      <c r="B55" s="3" t="s">
        <v>75</v>
      </c>
      <c r="C55">
        <v>0.76100000000000001</v>
      </c>
      <c r="D55">
        <v>11.2</v>
      </c>
      <c r="E55">
        <v>87002</v>
      </c>
      <c r="G55"/>
    </row>
    <row r="56" spans="1:7" x14ac:dyDescent="0.25">
      <c r="A56" s="3" t="s">
        <v>6</v>
      </c>
      <c r="B56" s="3" t="s">
        <v>44</v>
      </c>
      <c r="C56">
        <v>0.83499999999999996</v>
      </c>
      <c r="D56">
        <v>12.5</v>
      </c>
      <c r="E56">
        <v>146546</v>
      </c>
      <c r="G56"/>
    </row>
    <row r="57" spans="1:7" x14ac:dyDescent="0.25">
      <c r="A57" s="3" t="s">
        <v>6</v>
      </c>
      <c r="B57" s="3" t="s">
        <v>168</v>
      </c>
      <c r="C57">
        <v>0.53200000000000003</v>
      </c>
      <c r="D57">
        <v>7</v>
      </c>
      <c r="E57">
        <v>23734</v>
      </c>
      <c r="G57"/>
    </row>
    <row r="58" spans="1:7" x14ac:dyDescent="0.25">
      <c r="A58" s="3" t="s">
        <v>10</v>
      </c>
      <c r="B58" s="3" t="s">
        <v>94</v>
      </c>
      <c r="C58">
        <v>0.69699999999999995</v>
      </c>
      <c r="D58">
        <v>10.1</v>
      </c>
      <c r="E58">
        <v>67666</v>
      </c>
      <c r="G58"/>
    </row>
    <row r="59" spans="1:7" x14ac:dyDescent="0.25">
      <c r="A59" s="3" t="s">
        <v>8</v>
      </c>
      <c r="B59" s="3" t="s">
        <v>186</v>
      </c>
      <c r="C59">
        <v>0.42099999999999999</v>
      </c>
      <c r="D59">
        <v>5.6</v>
      </c>
      <c r="E59">
        <v>9409</v>
      </c>
      <c r="G59"/>
    </row>
    <row r="60" spans="1:7" x14ac:dyDescent="0.25">
      <c r="A60" s="3" t="s">
        <v>15</v>
      </c>
      <c r="B60" s="3" t="s">
        <v>164</v>
      </c>
      <c r="C60">
        <v>0.52500000000000002</v>
      </c>
      <c r="D60">
        <v>8.1</v>
      </c>
      <c r="E60">
        <v>26104</v>
      </c>
      <c r="G60"/>
    </row>
    <row r="61" spans="1:7" x14ac:dyDescent="0.25">
      <c r="A61" s="3" t="s">
        <v>8</v>
      </c>
      <c r="B61" s="3" t="s">
        <v>62</v>
      </c>
      <c r="C61">
        <v>0.80100000000000005</v>
      </c>
      <c r="D61">
        <v>11.9</v>
      </c>
      <c r="E61">
        <v>113730</v>
      </c>
      <c r="G61"/>
    </row>
    <row r="62" spans="1:7" x14ac:dyDescent="0.25">
      <c r="A62" s="3" t="s">
        <v>5</v>
      </c>
      <c r="B62" s="3" t="s">
        <v>136</v>
      </c>
      <c r="C62">
        <v>0.63100000000000001</v>
      </c>
      <c r="D62">
        <v>8.9</v>
      </c>
      <c r="E62">
        <v>41641</v>
      </c>
      <c r="G62"/>
    </row>
    <row r="63" spans="1:7" x14ac:dyDescent="0.25">
      <c r="A63" s="3" t="s">
        <v>15</v>
      </c>
      <c r="B63" s="3" t="s">
        <v>133</v>
      </c>
      <c r="C63">
        <v>0.63</v>
      </c>
      <c r="D63">
        <v>9.4</v>
      </c>
      <c r="E63">
        <v>42938</v>
      </c>
      <c r="G63"/>
    </row>
    <row r="64" spans="1:7" x14ac:dyDescent="0.25">
      <c r="A64" s="3" t="s">
        <v>5</v>
      </c>
      <c r="B64" s="3" t="s">
        <v>66</v>
      </c>
      <c r="C64">
        <v>0.77500000000000002</v>
      </c>
      <c r="D64">
        <v>12.3</v>
      </c>
      <c r="E64">
        <v>103267</v>
      </c>
      <c r="G64"/>
    </row>
    <row r="65" spans="1:7" x14ac:dyDescent="0.25">
      <c r="A65" s="3" t="s">
        <v>5</v>
      </c>
      <c r="B65" s="3" t="s">
        <v>142</v>
      </c>
      <c r="C65">
        <v>0.61899999999999999</v>
      </c>
      <c r="D65">
        <v>10.3</v>
      </c>
      <c r="E65">
        <v>38514</v>
      </c>
      <c r="G65"/>
    </row>
    <row r="66" spans="1:7" x14ac:dyDescent="0.25">
      <c r="A66" s="3" t="s">
        <v>12</v>
      </c>
      <c r="B66" s="3" t="s">
        <v>72</v>
      </c>
      <c r="C66">
        <v>0.76100000000000001</v>
      </c>
      <c r="D66">
        <v>11.3</v>
      </c>
      <c r="E66">
        <v>92925</v>
      </c>
      <c r="G66"/>
    </row>
    <row r="67" spans="1:7" x14ac:dyDescent="0.25">
      <c r="A67" s="3" t="s">
        <v>12</v>
      </c>
      <c r="B67" s="3" t="s">
        <v>41</v>
      </c>
      <c r="C67">
        <v>0.82799999999999996</v>
      </c>
      <c r="D67">
        <v>12.8</v>
      </c>
      <c r="E67">
        <v>121063</v>
      </c>
      <c r="G67"/>
    </row>
    <row r="68" spans="1:7" x14ac:dyDescent="0.25">
      <c r="A68" s="3" t="s">
        <v>8</v>
      </c>
      <c r="B68" s="3" t="s">
        <v>88</v>
      </c>
      <c r="C68">
        <v>0.72599999999999998</v>
      </c>
      <c r="D68">
        <v>11.1</v>
      </c>
      <c r="E68">
        <v>72716</v>
      </c>
      <c r="G68"/>
    </row>
    <row r="69" spans="1:7" x14ac:dyDescent="0.25">
      <c r="A69" s="3" t="s">
        <v>15</v>
      </c>
      <c r="B69" s="3" t="s">
        <v>46</v>
      </c>
      <c r="C69">
        <v>0.82499999999999996</v>
      </c>
      <c r="D69">
        <v>12.6</v>
      </c>
      <c r="E69">
        <v>142401</v>
      </c>
      <c r="G69"/>
    </row>
    <row r="70" spans="1:7" x14ac:dyDescent="0.25">
      <c r="A70" s="3" t="s">
        <v>10</v>
      </c>
      <c r="B70" s="3" t="s">
        <v>18</v>
      </c>
      <c r="C70">
        <v>0.81299999999999994</v>
      </c>
      <c r="D70">
        <v>12.8</v>
      </c>
      <c r="E70">
        <v>138940</v>
      </c>
      <c r="G70"/>
    </row>
    <row r="71" spans="1:7" x14ac:dyDescent="0.25">
      <c r="A71" s="3" t="s">
        <v>5</v>
      </c>
      <c r="B71" s="3" t="s">
        <v>102</v>
      </c>
      <c r="C71">
        <v>0.68400000000000005</v>
      </c>
      <c r="D71">
        <v>10.3</v>
      </c>
      <c r="E71">
        <v>62498</v>
      </c>
      <c r="G71"/>
    </row>
    <row r="72" spans="1:7" x14ac:dyDescent="0.25">
      <c r="A72" s="3" t="s">
        <v>8</v>
      </c>
      <c r="B72" s="3" t="s">
        <v>111</v>
      </c>
      <c r="C72">
        <v>0.66900000000000004</v>
      </c>
      <c r="D72">
        <v>9.5</v>
      </c>
      <c r="E72">
        <v>54713</v>
      </c>
      <c r="G72"/>
    </row>
    <row r="73" spans="1:7" x14ac:dyDescent="0.25">
      <c r="A73" s="3" t="s">
        <v>6</v>
      </c>
      <c r="B73" s="3" t="s">
        <v>27</v>
      </c>
      <c r="C73">
        <v>0.81299999999999994</v>
      </c>
      <c r="D73">
        <v>13.1</v>
      </c>
      <c r="E73">
        <v>120124</v>
      </c>
      <c r="G73"/>
    </row>
    <row r="74" spans="1:7" x14ac:dyDescent="0.25">
      <c r="A74" s="3" t="s">
        <v>12</v>
      </c>
      <c r="B74" s="3" t="s">
        <v>188</v>
      </c>
      <c r="C74">
        <v>0.34699999999999998</v>
      </c>
      <c r="D74">
        <v>5.9</v>
      </c>
      <c r="E74">
        <v>6976</v>
      </c>
      <c r="G74"/>
    </row>
    <row r="75" spans="1:7" x14ac:dyDescent="0.25">
      <c r="A75" s="3" t="s">
        <v>5</v>
      </c>
      <c r="B75" s="3" t="s">
        <v>20</v>
      </c>
      <c r="C75">
        <v>0.84599999999999997</v>
      </c>
      <c r="D75">
        <v>12.7</v>
      </c>
      <c r="E75">
        <v>134803</v>
      </c>
      <c r="G75"/>
    </row>
    <row r="76" spans="1:7" x14ac:dyDescent="0.25">
      <c r="A76" s="3" t="s">
        <v>10</v>
      </c>
      <c r="B76" s="3" t="s">
        <v>116</v>
      </c>
      <c r="C76">
        <v>0.64300000000000002</v>
      </c>
      <c r="D76">
        <v>10.1</v>
      </c>
      <c r="E76">
        <v>50195</v>
      </c>
      <c r="G76"/>
    </row>
    <row r="77" spans="1:7" x14ac:dyDescent="0.25">
      <c r="A77" s="3" t="s">
        <v>5</v>
      </c>
      <c r="B77" s="3" t="s">
        <v>59</v>
      </c>
      <c r="C77">
        <v>0.79300000000000004</v>
      </c>
      <c r="D77">
        <v>12</v>
      </c>
      <c r="E77">
        <v>118815</v>
      </c>
      <c r="G77"/>
    </row>
    <row r="78" spans="1:7" x14ac:dyDescent="0.25">
      <c r="A78" s="3" t="s">
        <v>12</v>
      </c>
      <c r="B78" s="3" t="s">
        <v>124</v>
      </c>
      <c r="C78">
        <v>0.64700000000000002</v>
      </c>
      <c r="D78">
        <v>9.6999999999999993</v>
      </c>
      <c r="E78">
        <v>46427</v>
      </c>
      <c r="G78"/>
    </row>
    <row r="79" spans="1:7" x14ac:dyDescent="0.25">
      <c r="A79" s="3" t="s">
        <v>5</v>
      </c>
      <c r="B79" s="3" t="s">
        <v>91</v>
      </c>
      <c r="C79">
        <v>0.72099999999999997</v>
      </c>
      <c r="D79">
        <v>10.9</v>
      </c>
      <c r="E79">
        <v>68179</v>
      </c>
      <c r="G79"/>
    </row>
    <row r="80" spans="1:7" x14ac:dyDescent="0.25">
      <c r="A80" s="3" t="s">
        <v>5</v>
      </c>
      <c r="B80" s="3" t="s">
        <v>100</v>
      </c>
      <c r="C80">
        <v>0.68400000000000005</v>
      </c>
      <c r="D80">
        <v>9.9</v>
      </c>
      <c r="E80">
        <v>65760</v>
      </c>
      <c r="G80"/>
    </row>
    <row r="81" spans="1:7" x14ac:dyDescent="0.25">
      <c r="A81" s="3" t="s">
        <v>6</v>
      </c>
      <c r="B81" s="3" t="s">
        <v>183</v>
      </c>
      <c r="C81">
        <v>0.41599999999999998</v>
      </c>
      <c r="D81">
        <v>7.4</v>
      </c>
      <c r="E81">
        <v>11893</v>
      </c>
      <c r="G81"/>
    </row>
    <row r="82" spans="1:7" x14ac:dyDescent="0.25">
      <c r="A82" s="3" t="s">
        <v>15</v>
      </c>
      <c r="B82" s="3" t="s">
        <v>170</v>
      </c>
      <c r="C82">
        <v>0.54700000000000004</v>
      </c>
      <c r="D82">
        <v>7.4</v>
      </c>
      <c r="E82">
        <v>22799</v>
      </c>
      <c r="G82"/>
    </row>
    <row r="83" spans="1:7" x14ac:dyDescent="0.25">
      <c r="A83" s="3" t="s">
        <v>6</v>
      </c>
      <c r="B83" s="3" t="s">
        <v>28</v>
      </c>
      <c r="C83">
        <v>0.81699999999999995</v>
      </c>
      <c r="D83">
        <v>13.6</v>
      </c>
      <c r="E83">
        <v>119427</v>
      </c>
      <c r="G83"/>
    </row>
    <row r="84" spans="1:7" x14ac:dyDescent="0.25">
      <c r="A84" s="3" t="s">
        <v>10</v>
      </c>
      <c r="B84" s="3" t="s">
        <v>32</v>
      </c>
      <c r="C84">
        <v>0.84199999999999997</v>
      </c>
      <c r="D84">
        <v>12.7</v>
      </c>
      <c r="E84">
        <v>142401</v>
      </c>
      <c r="G84"/>
    </row>
    <row r="85" spans="1:7" x14ac:dyDescent="0.25">
      <c r="A85" s="3" t="s">
        <v>5</v>
      </c>
      <c r="B85" s="3" t="s">
        <v>196</v>
      </c>
      <c r="C85">
        <v>0.60499999999999998</v>
      </c>
      <c r="D85">
        <v>8.4</v>
      </c>
      <c r="E85">
        <v>43716</v>
      </c>
      <c r="G85"/>
    </row>
    <row r="86" spans="1:7" x14ac:dyDescent="0.25">
      <c r="A86" s="3" t="s">
        <v>15</v>
      </c>
      <c r="B86" s="3" t="s">
        <v>118</v>
      </c>
      <c r="C86">
        <v>0.61699999999999999</v>
      </c>
      <c r="D86">
        <v>8.5</v>
      </c>
      <c r="E86">
        <v>50107</v>
      </c>
      <c r="G86"/>
    </row>
    <row r="87" spans="1:7" x14ac:dyDescent="0.25">
      <c r="A87" s="3" t="s">
        <v>10</v>
      </c>
      <c r="B87" s="3" t="s">
        <v>90</v>
      </c>
      <c r="C87">
        <v>0.70099999999999996</v>
      </c>
      <c r="D87">
        <v>9.9</v>
      </c>
      <c r="E87">
        <v>68378</v>
      </c>
      <c r="G87"/>
    </row>
    <row r="88" spans="1:7" x14ac:dyDescent="0.25">
      <c r="A88" s="3" t="s">
        <v>5</v>
      </c>
      <c r="B88" s="3" t="s">
        <v>165</v>
      </c>
      <c r="C88">
        <v>0.53500000000000003</v>
      </c>
      <c r="D88">
        <v>8.1999999999999993</v>
      </c>
      <c r="E88">
        <v>25131</v>
      </c>
      <c r="G88"/>
    </row>
    <row r="89" spans="1:7" x14ac:dyDescent="0.25">
      <c r="A89" s="3" t="s">
        <v>6</v>
      </c>
      <c r="B89" s="3" t="s">
        <v>185</v>
      </c>
      <c r="C89">
        <v>0.374</v>
      </c>
      <c r="D89">
        <v>4.4000000000000004</v>
      </c>
      <c r="E89">
        <v>9734</v>
      </c>
      <c r="G89"/>
    </row>
    <row r="90" spans="1:7" x14ac:dyDescent="0.25">
      <c r="A90" s="3" t="s">
        <v>5</v>
      </c>
      <c r="B90" s="3" t="s">
        <v>43</v>
      </c>
      <c r="C90">
        <v>0.82299999999999995</v>
      </c>
      <c r="D90">
        <v>13.1</v>
      </c>
      <c r="E90">
        <v>119427</v>
      </c>
      <c r="G90"/>
    </row>
    <row r="91" spans="1:7" x14ac:dyDescent="0.25">
      <c r="A91" s="3" t="s">
        <v>8</v>
      </c>
      <c r="B91" s="3" t="s">
        <v>134</v>
      </c>
      <c r="C91">
        <v>0.64100000000000001</v>
      </c>
      <c r="D91">
        <v>9.6999999999999993</v>
      </c>
      <c r="E91">
        <v>42488</v>
      </c>
      <c r="G91"/>
    </row>
    <row r="92" spans="1:7" x14ac:dyDescent="0.25">
      <c r="A92" s="3" t="s">
        <v>6</v>
      </c>
      <c r="B92" s="3" t="s">
        <v>48</v>
      </c>
      <c r="C92">
        <v>0.81699999999999995</v>
      </c>
      <c r="D92">
        <v>12.5</v>
      </c>
      <c r="E92">
        <v>139360</v>
      </c>
      <c r="G92"/>
    </row>
    <row r="93" spans="1:7" x14ac:dyDescent="0.25">
      <c r="A93" s="3" t="s">
        <v>15</v>
      </c>
      <c r="B93" s="3" t="s">
        <v>173</v>
      </c>
      <c r="C93">
        <v>0.50700000000000001</v>
      </c>
      <c r="D93">
        <v>8</v>
      </c>
      <c r="E93">
        <v>18739</v>
      </c>
      <c r="G93"/>
    </row>
    <row r="94" spans="1:7" x14ac:dyDescent="0.25">
      <c r="A94" s="3" t="s">
        <v>8</v>
      </c>
      <c r="B94" s="3" t="s">
        <v>167</v>
      </c>
      <c r="C94">
        <v>0.53100000000000003</v>
      </c>
      <c r="D94">
        <v>7.5</v>
      </c>
      <c r="E94">
        <v>24181</v>
      </c>
      <c r="G94"/>
    </row>
    <row r="95" spans="1:7" x14ac:dyDescent="0.25">
      <c r="A95" s="3" t="s">
        <v>15</v>
      </c>
      <c r="B95" s="3" t="s">
        <v>36</v>
      </c>
      <c r="C95">
        <v>0.83199999999999996</v>
      </c>
      <c r="D95">
        <v>12.8</v>
      </c>
      <c r="E95">
        <v>134803</v>
      </c>
      <c r="G95"/>
    </row>
    <row r="96" spans="1:7" x14ac:dyDescent="0.25">
      <c r="A96" s="3" t="s">
        <v>8</v>
      </c>
      <c r="B96" s="3" t="s">
        <v>201</v>
      </c>
      <c r="C96">
        <v>0.85299999999999998</v>
      </c>
      <c r="D96">
        <v>13.1</v>
      </c>
      <c r="E96">
        <v>143908</v>
      </c>
      <c r="G96"/>
    </row>
    <row r="97" spans="1:7" x14ac:dyDescent="0.25">
      <c r="A97" s="3" t="s">
        <v>6</v>
      </c>
      <c r="B97" s="3" t="s">
        <v>190</v>
      </c>
      <c r="C97">
        <v>0.78200000000000003</v>
      </c>
      <c r="D97">
        <v>11.9</v>
      </c>
      <c r="E97">
        <v>121063</v>
      </c>
      <c r="G97"/>
    </row>
    <row r="98" spans="1:7" x14ac:dyDescent="0.25">
      <c r="A98" s="3" t="s">
        <v>6</v>
      </c>
      <c r="B98" s="3" t="s">
        <v>68</v>
      </c>
      <c r="C98">
        <v>0.76800000000000002</v>
      </c>
      <c r="D98">
        <v>11.7</v>
      </c>
      <c r="E98">
        <v>99220</v>
      </c>
      <c r="G98"/>
    </row>
    <row r="99" spans="1:7" x14ac:dyDescent="0.25">
      <c r="A99" s="3" t="s">
        <v>15</v>
      </c>
      <c r="B99" s="3" t="s">
        <v>64</v>
      </c>
      <c r="C99">
        <v>0.78100000000000003</v>
      </c>
      <c r="D99">
        <v>11.6</v>
      </c>
      <c r="E99">
        <v>112595</v>
      </c>
      <c r="G99"/>
    </row>
    <row r="100" spans="1:7" x14ac:dyDescent="0.25">
      <c r="A100" s="3" t="s">
        <v>6</v>
      </c>
      <c r="B100" s="3" t="s">
        <v>26</v>
      </c>
      <c r="C100">
        <v>0.83899999999999997</v>
      </c>
      <c r="D100">
        <v>12.7</v>
      </c>
      <c r="E100">
        <v>121063</v>
      </c>
      <c r="G100"/>
    </row>
    <row r="101" spans="1:7" x14ac:dyDescent="0.25">
      <c r="A101" s="3" t="s">
        <v>15</v>
      </c>
      <c r="B101" s="3" t="s">
        <v>33</v>
      </c>
      <c r="C101">
        <v>0.81599999999999995</v>
      </c>
      <c r="D101">
        <v>13.3</v>
      </c>
      <c r="E101">
        <v>142252</v>
      </c>
      <c r="G101"/>
    </row>
    <row r="102" spans="1:7" x14ac:dyDescent="0.25">
      <c r="A102" s="3" t="s">
        <v>8</v>
      </c>
      <c r="B102" s="3" t="s">
        <v>40</v>
      </c>
      <c r="C102">
        <v>0.86</v>
      </c>
      <c r="D102">
        <v>13</v>
      </c>
      <c r="E102">
        <v>125516</v>
      </c>
      <c r="G102"/>
    </row>
    <row r="103" spans="1:7" x14ac:dyDescent="0.25">
      <c r="A103" s="3" t="s">
        <v>15</v>
      </c>
      <c r="B103" s="3" t="s">
        <v>169</v>
      </c>
      <c r="C103">
        <v>0.56599999999999995</v>
      </c>
      <c r="D103">
        <v>7.8</v>
      </c>
      <c r="E103">
        <v>23425</v>
      </c>
      <c r="G103"/>
    </row>
    <row r="104" spans="1:7" x14ac:dyDescent="0.25">
      <c r="A104" s="3" t="s">
        <v>15</v>
      </c>
      <c r="B104" s="3" t="s">
        <v>143</v>
      </c>
      <c r="C104">
        <v>0.65200000000000002</v>
      </c>
      <c r="D104">
        <v>9.6999999999999993</v>
      </c>
      <c r="E104">
        <v>38449</v>
      </c>
      <c r="G104"/>
    </row>
    <row r="105" spans="1:7" x14ac:dyDescent="0.25">
      <c r="A105" s="3" t="s">
        <v>6</v>
      </c>
      <c r="B105" s="3" t="s">
        <v>47</v>
      </c>
      <c r="C105">
        <v>0.82399999999999995</v>
      </c>
      <c r="D105">
        <v>12.3</v>
      </c>
      <c r="E105">
        <v>142252</v>
      </c>
      <c r="G105"/>
    </row>
    <row r="106" spans="1:7" x14ac:dyDescent="0.25">
      <c r="A106" s="3" t="s">
        <v>10</v>
      </c>
      <c r="B106" s="3" t="s">
        <v>67</v>
      </c>
      <c r="C106">
        <v>0.75900000000000001</v>
      </c>
      <c r="D106">
        <v>11.9</v>
      </c>
      <c r="E106">
        <v>99504</v>
      </c>
      <c r="G106"/>
    </row>
    <row r="107" spans="1:7" x14ac:dyDescent="0.25">
      <c r="A107" s="3" t="s">
        <v>12</v>
      </c>
      <c r="B107" s="3" t="s">
        <v>78</v>
      </c>
      <c r="C107">
        <v>0.73699999999999999</v>
      </c>
      <c r="D107">
        <v>9.3000000000000007</v>
      </c>
      <c r="E107">
        <v>85228</v>
      </c>
      <c r="G107"/>
    </row>
    <row r="108" spans="1:7" x14ac:dyDescent="0.25">
      <c r="A108" s="3" t="s">
        <v>5</v>
      </c>
      <c r="B108" s="3" t="s">
        <v>184</v>
      </c>
      <c r="C108">
        <v>0.46700000000000003</v>
      </c>
      <c r="D108">
        <v>6.7</v>
      </c>
      <c r="E108">
        <v>11479</v>
      </c>
      <c r="G108"/>
    </row>
    <row r="109" spans="1:7" x14ac:dyDescent="0.25">
      <c r="A109" s="3" t="s">
        <v>15</v>
      </c>
      <c r="B109" s="3" t="s">
        <v>81</v>
      </c>
      <c r="C109">
        <v>0.72899999999999998</v>
      </c>
      <c r="D109">
        <v>10.7</v>
      </c>
      <c r="E109">
        <v>82498</v>
      </c>
      <c r="G109"/>
    </row>
    <row r="110" spans="1:7" x14ac:dyDescent="0.25">
      <c r="A110" s="3" t="s">
        <v>12</v>
      </c>
      <c r="B110" s="3" t="s">
        <v>101</v>
      </c>
      <c r="C110">
        <v>0.68100000000000005</v>
      </c>
      <c r="D110">
        <v>9.6999999999999993</v>
      </c>
      <c r="E110">
        <v>63681</v>
      </c>
      <c r="G110"/>
    </row>
    <row r="111" spans="1:7" x14ac:dyDescent="0.25">
      <c r="A111" s="3" t="s">
        <v>12</v>
      </c>
      <c r="B111" s="3" t="s">
        <v>61</v>
      </c>
      <c r="C111">
        <v>0.79</v>
      </c>
      <c r="D111">
        <v>11.9</v>
      </c>
      <c r="E111">
        <v>114939</v>
      </c>
      <c r="G111"/>
    </row>
    <row r="112" spans="1:7" x14ac:dyDescent="0.25">
      <c r="A112" s="3" t="s">
        <v>15</v>
      </c>
      <c r="B112" s="3" t="s">
        <v>135</v>
      </c>
      <c r="C112">
        <v>0.64500000000000002</v>
      </c>
      <c r="D112">
        <v>9.1999999999999993</v>
      </c>
      <c r="E112">
        <v>42439</v>
      </c>
      <c r="G112"/>
    </row>
    <row r="113" spans="1:7" x14ac:dyDescent="0.25">
      <c r="A113" s="3" t="s">
        <v>10</v>
      </c>
      <c r="B113" s="3" t="s">
        <v>199</v>
      </c>
      <c r="C113">
        <v>0.433</v>
      </c>
      <c r="D113">
        <v>5.9</v>
      </c>
      <c r="E113">
        <v>14740</v>
      </c>
      <c r="G113"/>
    </row>
    <row r="114" spans="1:7" x14ac:dyDescent="0.25">
      <c r="A114" s="3" t="s">
        <v>10</v>
      </c>
      <c r="B114" s="3" t="s">
        <v>191</v>
      </c>
      <c r="C114">
        <v>0.85299999999999998</v>
      </c>
      <c r="D114">
        <v>12.4</v>
      </c>
      <c r="E114">
        <v>133291</v>
      </c>
      <c r="G114"/>
    </row>
    <row r="115" spans="1:7" x14ac:dyDescent="0.25">
      <c r="A115" s="3" t="s">
        <v>12</v>
      </c>
      <c r="B115" s="3" t="s">
        <v>13</v>
      </c>
      <c r="C115">
        <v>0.85</v>
      </c>
      <c r="D115">
        <v>12.8</v>
      </c>
      <c r="E115">
        <v>142759</v>
      </c>
      <c r="G115"/>
    </row>
    <row r="116" spans="1:7" x14ac:dyDescent="0.25">
      <c r="A116" s="3" t="s">
        <v>12</v>
      </c>
      <c r="B116" s="3" t="s">
        <v>151</v>
      </c>
      <c r="C116">
        <v>0.61</v>
      </c>
      <c r="D116">
        <v>8.3000000000000007</v>
      </c>
      <c r="E116">
        <v>34001</v>
      </c>
      <c r="G116"/>
    </row>
    <row r="117" spans="1:7" x14ac:dyDescent="0.25">
      <c r="A117" s="3" t="s">
        <v>12</v>
      </c>
      <c r="B117" s="3" t="s">
        <v>178</v>
      </c>
      <c r="C117">
        <v>0.45800000000000002</v>
      </c>
      <c r="D117">
        <v>6.2</v>
      </c>
      <c r="E117">
        <v>15254</v>
      </c>
      <c r="G117"/>
    </row>
    <row r="118" spans="1:7" x14ac:dyDescent="0.25">
      <c r="A118" s="3" t="s">
        <v>10</v>
      </c>
      <c r="B118" s="3" t="s">
        <v>53</v>
      </c>
      <c r="C118">
        <v>0.81100000000000005</v>
      </c>
      <c r="D118">
        <v>12.4</v>
      </c>
      <c r="E118">
        <v>132108</v>
      </c>
      <c r="G118"/>
    </row>
    <row r="119" spans="1:7" x14ac:dyDescent="0.25">
      <c r="A119" s="3" t="s">
        <v>10</v>
      </c>
      <c r="B119" s="3" t="s">
        <v>11</v>
      </c>
      <c r="C119">
        <v>0.85299999999999998</v>
      </c>
      <c r="D119">
        <v>14.1</v>
      </c>
      <c r="E119">
        <v>143908</v>
      </c>
      <c r="G119"/>
    </row>
    <row r="120" spans="1:7" x14ac:dyDescent="0.25">
      <c r="A120" s="3" t="s">
        <v>6</v>
      </c>
      <c r="B120" s="3" t="s">
        <v>166</v>
      </c>
      <c r="C120">
        <v>0.52</v>
      </c>
      <c r="D120">
        <v>7.4</v>
      </c>
      <c r="E120">
        <v>24534</v>
      </c>
      <c r="G120"/>
    </row>
    <row r="121" spans="1:7" x14ac:dyDescent="0.25">
      <c r="A121" s="3" t="s">
        <v>6</v>
      </c>
      <c r="B121" s="3" t="s">
        <v>144</v>
      </c>
      <c r="C121">
        <v>0.60399999999999998</v>
      </c>
      <c r="D121">
        <v>9.3000000000000007</v>
      </c>
      <c r="E121">
        <v>36754</v>
      </c>
      <c r="G121"/>
    </row>
    <row r="122" spans="1:7" x14ac:dyDescent="0.25">
      <c r="A122" s="3" t="s">
        <v>12</v>
      </c>
      <c r="B122" s="3" t="s">
        <v>38</v>
      </c>
      <c r="C122">
        <v>0.85</v>
      </c>
      <c r="D122">
        <v>14</v>
      </c>
      <c r="E122">
        <v>131838</v>
      </c>
      <c r="G122"/>
    </row>
    <row r="123" spans="1:7" x14ac:dyDescent="0.25">
      <c r="A123" s="3" t="s">
        <v>12</v>
      </c>
      <c r="B123" s="3" t="s">
        <v>172</v>
      </c>
      <c r="C123">
        <v>0.502</v>
      </c>
      <c r="D123">
        <v>7.9</v>
      </c>
      <c r="E123">
        <v>19782</v>
      </c>
      <c r="G123"/>
    </row>
    <row r="124" spans="1:7" x14ac:dyDescent="0.25">
      <c r="A124" s="3" t="s">
        <v>6</v>
      </c>
      <c r="B124" s="3" t="s">
        <v>123</v>
      </c>
      <c r="C124">
        <v>0.64500000000000002</v>
      </c>
      <c r="D124">
        <v>8.9</v>
      </c>
      <c r="E124">
        <v>47078</v>
      </c>
      <c r="G124"/>
    </row>
    <row r="125" spans="1:7" x14ac:dyDescent="0.25">
      <c r="A125" s="3" t="s">
        <v>10</v>
      </c>
      <c r="B125" s="3" t="s">
        <v>150</v>
      </c>
      <c r="C125">
        <v>0.60199999999999998</v>
      </c>
      <c r="D125">
        <v>8.8000000000000007</v>
      </c>
      <c r="E125">
        <v>34867</v>
      </c>
      <c r="G125"/>
    </row>
    <row r="126" spans="1:7" x14ac:dyDescent="0.25">
      <c r="A126" s="3" t="s">
        <v>15</v>
      </c>
      <c r="B126" s="3" t="s">
        <v>122</v>
      </c>
      <c r="C126">
        <v>0.67600000000000005</v>
      </c>
      <c r="D126">
        <v>10.199999999999999</v>
      </c>
      <c r="E126">
        <v>47265</v>
      </c>
      <c r="G126"/>
    </row>
    <row r="127" spans="1:7" x14ac:dyDescent="0.25">
      <c r="A127" s="3" t="s">
        <v>12</v>
      </c>
      <c r="B127" s="3" t="s">
        <v>83</v>
      </c>
      <c r="C127">
        <v>0.745</v>
      </c>
      <c r="D127">
        <v>10.5</v>
      </c>
      <c r="E127">
        <v>81115</v>
      </c>
      <c r="G127"/>
    </row>
    <row r="128" spans="1:7" x14ac:dyDescent="0.25">
      <c r="A128" s="3" t="s">
        <v>10</v>
      </c>
      <c r="B128" s="3" t="s">
        <v>127</v>
      </c>
      <c r="C128">
        <v>0.65500000000000003</v>
      </c>
      <c r="D128">
        <v>10.3</v>
      </c>
      <c r="E128">
        <v>44785</v>
      </c>
      <c r="G128"/>
    </row>
    <row r="129" spans="1:7" x14ac:dyDescent="0.25">
      <c r="A129" s="3" t="s">
        <v>5</v>
      </c>
      <c r="B129" s="3" t="s">
        <v>182</v>
      </c>
      <c r="C129">
        <v>0.45200000000000001</v>
      </c>
      <c r="D129">
        <v>5.8</v>
      </c>
      <c r="E129">
        <v>13379</v>
      </c>
      <c r="G129"/>
    </row>
    <row r="130" spans="1:7" x14ac:dyDescent="0.25">
      <c r="A130" s="3" t="s">
        <v>10</v>
      </c>
      <c r="B130" s="3" t="s">
        <v>34</v>
      </c>
      <c r="C130">
        <v>0.86099999999999999</v>
      </c>
      <c r="D130">
        <v>12.9</v>
      </c>
      <c r="E130">
        <v>138940</v>
      </c>
      <c r="G130"/>
    </row>
    <row r="131" spans="1:7" x14ac:dyDescent="0.25">
      <c r="A131" s="3" t="s">
        <v>12</v>
      </c>
      <c r="B131" s="3" t="s">
        <v>21</v>
      </c>
      <c r="C131">
        <v>0.85899999999999999</v>
      </c>
      <c r="D131">
        <v>13.3</v>
      </c>
      <c r="E131">
        <v>133291</v>
      </c>
      <c r="G131"/>
    </row>
    <row r="132" spans="1:7" x14ac:dyDescent="0.25">
      <c r="A132" s="3" t="s">
        <v>12</v>
      </c>
      <c r="B132" s="3" t="s">
        <v>23</v>
      </c>
      <c r="C132">
        <v>0.81699999999999995</v>
      </c>
      <c r="D132">
        <v>13.4</v>
      </c>
      <c r="E132">
        <v>131838</v>
      </c>
      <c r="G132"/>
    </row>
    <row r="133" spans="1:7" x14ac:dyDescent="0.25">
      <c r="A133" s="3" t="s">
        <v>15</v>
      </c>
      <c r="B133" s="3" t="s">
        <v>114</v>
      </c>
      <c r="C133">
        <v>0.67600000000000005</v>
      </c>
      <c r="D133">
        <v>10.6</v>
      </c>
      <c r="E133">
        <v>53075</v>
      </c>
      <c r="G133"/>
    </row>
    <row r="134" spans="1:7" x14ac:dyDescent="0.25">
      <c r="A134" s="3" t="s">
        <v>10</v>
      </c>
      <c r="B134" s="3" t="s">
        <v>17</v>
      </c>
      <c r="C134">
        <v>0.84299999999999997</v>
      </c>
      <c r="D134">
        <v>12.5</v>
      </c>
      <c r="E134">
        <v>139360</v>
      </c>
      <c r="G134"/>
    </row>
    <row r="135" spans="1:7" x14ac:dyDescent="0.25">
      <c r="A135" s="3" t="s">
        <v>10</v>
      </c>
      <c r="B135" s="3" t="s">
        <v>193</v>
      </c>
      <c r="C135">
        <v>0.79300000000000004</v>
      </c>
      <c r="D135">
        <v>12.3</v>
      </c>
      <c r="E135">
        <v>119427</v>
      </c>
      <c r="G135"/>
    </row>
    <row r="136" spans="1:7" x14ac:dyDescent="0.25">
      <c r="A136" s="3" t="s">
        <v>15</v>
      </c>
      <c r="B136" s="3" t="s">
        <v>115</v>
      </c>
      <c r="C136">
        <v>0.64600000000000002</v>
      </c>
      <c r="D136">
        <v>9.6</v>
      </c>
      <c r="E136">
        <v>50902</v>
      </c>
      <c r="G136"/>
    </row>
    <row r="137" spans="1:7" x14ac:dyDescent="0.25">
      <c r="A137" s="3" t="s">
        <v>6</v>
      </c>
      <c r="B137" s="3" t="s">
        <v>109</v>
      </c>
      <c r="C137">
        <v>0.66300000000000003</v>
      </c>
      <c r="D137">
        <v>10</v>
      </c>
      <c r="E137">
        <v>55411</v>
      </c>
      <c r="G137"/>
    </row>
    <row r="138" spans="1:7" x14ac:dyDescent="0.25">
      <c r="A138" s="3" t="s">
        <v>5</v>
      </c>
      <c r="B138" s="3" t="s">
        <v>73</v>
      </c>
      <c r="C138">
        <v>0.77500000000000002</v>
      </c>
      <c r="D138">
        <v>11.7</v>
      </c>
      <c r="E138">
        <v>90739</v>
      </c>
      <c r="G138"/>
    </row>
    <row r="139" spans="1:7" x14ac:dyDescent="0.25">
      <c r="A139" s="3" t="s">
        <v>15</v>
      </c>
      <c r="B139" s="3" t="s">
        <v>19</v>
      </c>
      <c r="C139">
        <v>0.81399999999999995</v>
      </c>
      <c r="D139">
        <v>13.5</v>
      </c>
      <c r="E139">
        <v>136649</v>
      </c>
      <c r="G139"/>
    </row>
    <row r="140" spans="1:7" x14ac:dyDescent="0.25">
      <c r="A140" s="3" t="s">
        <v>12</v>
      </c>
      <c r="B140" s="3" t="s">
        <v>141</v>
      </c>
      <c r="C140">
        <v>0.59299999999999997</v>
      </c>
      <c r="D140">
        <v>8.3000000000000007</v>
      </c>
      <c r="E140">
        <v>38555</v>
      </c>
      <c r="G140"/>
    </row>
    <row r="141" spans="1:7" x14ac:dyDescent="0.25">
      <c r="A141" s="3" t="s">
        <v>5</v>
      </c>
      <c r="B141" s="3" t="s">
        <v>31</v>
      </c>
      <c r="C141">
        <v>0.82</v>
      </c>
      <c r="D141">
        <v>13.6</v>
      </c>
      <c r="E141">
        <v>142759</v>
      </c>
      <c r="G141"/>
    </row>
    <row r="142" spans="1:7" x14ac:dyDescent="0.25">
      <c r="A142" s="3" t="s">
        <v>10</v>
      </c>
      <c r="B142" s="3" t="s">
        <v>171</v>
      </c>
      <c r="C142">
        <v>0.48599999999999999</v>
      </c>
      <c r="D142">
        <v>7.4</v>
      </c>
      <c r="E142">
        <v>20848</v>
      </c>
      <c r="G142"/>
    </row>
    <row r="143" spans="1:7" x14ac:dyDescent="0.25">
      <c r="A143" s="3" t="s">
        <v>8</v>
      </c>
      <c r="B143" s="3" t="s">
        <v>160</v>
      </c>
      <c r="C143">
        <v>0.56299999999999994</v>
      </c>
      <c r="D143">
        <v>7.2</v>
      </c>
      <c r="E143">
        <v>28149</v>
      </c>
      <c r="G143"/>
    </row>
    <row r="144" spans="1:7" x14ac:dyDescent="0.25">
      <c r="A144" s="3" t="s">
        <v>15</v>
      </c>
      <c r="B144" s="3" t="s">
        <v>54</v>
      </c>
      <c r="C144">
        <v>0.81399999999999995</v>
      </c>
      <c r="D144">
        <v>12</v>
      </c>
      <c r="E144">
        <v>131838</v>
      </c>
      <c r="G144"/>
    </row>
    <row r="145" spans="1:7" x14ac:dyDescent="0.25">
      <c r="A145" s="3" t="s">
        <v>12</v>
      </c>
      <c r="B145" s="3" t="s">
        <v>107</v>
      </c>
      <c r="C145">
        <v>0.67100000000000004</v>
      </c>
      <c r="D145">
        <v>9.5</v>
      </c>
      <c r="E145">
        <v>59655</v>
      </c>
      <c r="G145"/>
    </row>
    <row r="146" spans="1:7" x14ac:dyDescent="0.25">
      <c r="A146" s="3" t="s">
        <v>8</v>
      </c>
      <c r="B146" s="3" t="s">
        <v>158</v>
      </c>
      <c r="C146">
        <v>0.57099999999999995</v>
      </c>
      <c r="D146">
        <v>8.4</v>
      </c>
      <c r="E146">
        <v>29665</v>
      </c>
      <c r="G146"/>
    </row>
    <row r="147" spans="1:7" x14ac:dyDescent="0.25">
      <c r="A147" s="3" t="s">
        <v>8</v>
      </c>
      <c r="B147" s="3" t="s">
        <v>113</v>
      </c>
      <c r="C147">
        <v>0.65800000000000003</v>
      </c>
      <c r="D147">
        <v>10.199999999999999</v>
      </c>
      <c r="E147">
        <v>53309</v>
      </c>
      <c r="G147"/>
    </row>
    <row r="148" spans="1:7" x14ac:dyDescent="0.25">
      <c r="A148" s="3" t="s">
        <v>12</v>
      </c>
      <c r="B148" s="3" t="s">
        <v>139</v>
      </c>
      <c r="C148">
        <v>0.59</v>
      </c>
      <c r="D148">
        <v>8.9</v>
      </c>
      <c r="E148">
        <v>40223</v>
      </c>
      <c r="G148"/>
    </row>
    <row r="149" spans="1:7" x14ac:dyDescent="0.25">
      <c r="A149" s="3" t="s">
        <v>12</v>
      </c>
      <c r="B149" s="3" t="s">
        <v>126</v>
      </c>
      <c r="C149">
        <v>0.63</v>
      </c>
      <c r="D149">
        <v>9.6999999999999993</v>
      </c>
      <c r="E149">
        <v>46287</v>
      </c>
      <c r="G149"/>
    </row>
    <row r="150" spans="1:7" x14ac:dyDescent="0.25">
      <c r="A150" s="3" t="s">
        <v>15</v>
      </c>
      <c r="B150" s="3" t="s">
        <v>145</v>
      </c>
      <c r="C150">
        <v>0.59</v>
      </c>
      <c r="D150">
        <v>8.1999999999999993</v>
      </c>
      <c r="E150">
        <v>36635</v>
      </c>
      <c r="G150"/>
    </row>
    <row r="151" spans="1:7" x14ac:dyDescent="0.25">
      <c r="A151" s="3" t="s">
        <v>15</v>
      </c>
      <c r="B151" s="3" t="s">
        <v>181</v>
      </c>
      <c r="C151">
        <v>0.46400000000000002</v>
      </c>
      <c r="D151">
        <v>8.4</v>
      </c>
      <c r="E151">
        <v>13903</v>
      </c>
      <c r="G151"/>
    </row>
    <row r="152" spans="1:7" x14ac:dyDescent="0.25">
      <c r="A152" s="3" t="s">
        <v>10</v>
      </c>
      <c r="B152" s="3" t="s">
        <v>89</v>
      </c>
      <c r="C152">
        <v>0.71299999999999997</v>
      </c>
      <c r="D152">
        <v>10.199999999999999</v>
      </c>
      <c r="E152">
        <v>70603</v>
      </c>
      <c r="G152"/>
    </row>
    <row r="153" spans="1:7" x14ac:dyDescent="0.25">
      <c r="A153" s="3" t="s">
        <v>8</v>
      </c>
      <c r="B153" s="3" t="s">
        <v>93</v>
      </c>
      <c r="C153">
        <v>0.72599999999999998</v>
      </c>
      <c r="D153">
        <v>11.2</v>
      </c>
      <c r="E153">
        <v>67893</v>
      </c>
      <c r="G153"/>
    </row>
    <row r="154" spans="1:7" x14ac:dyDescent="0.25">
      <c r="A154" s="3" t="s">
        <v>12</v>
      </c>
      <c r="B154" s="3" t="s">
        <v>56</v>
      </c>
      <c r="C154">
        <v>0.8</v>
      </c>
      <c r="D154">
        <v>12.4</v>
      </c>
      <c r="E154">
        <v>125516</v>
      </c>
      <c r="G154"/>
    </row>
    <row r="155" spans="1:7" x14ac:dyDescent="0.25">
      <c r="A155" s="3" t="s">
        <v>8</v>
      </c>
      <c r="B155" s="3" t="s">
        <v>87</v>
      </c>
      <c r="C155">
        <v>0.72799999999999998</v>
      </c>
      <c r="D155">
        <v>10.7</v>
      </c>
      <c r="E155">
        <v>72820</v>
      </c>
      <c r="G155"/>
    </row>
    <row r="156" spans="1:7" x14ac:dyDescent="0.25">
      <c r="A156" s="3" t="s">
        <v>15</v>
      </c>
      <c r="B156" s="3" t="s">
        <v>96</v>
      </c>
      <c r="C156">
        <v>0.68700000000000006</v>
      </c>
      <c r="D156">
        <v>10.5</v>
      </c>
      <c r="E156">
        <v>66502</v>
      </c>
      <c r="G156"/>
    </row>
    <row r="157" spans="1:7" x14ac:dyDescent="0.25">
      <c r="A157" s="3" t="s">
        <v>8</v>
      </c>
      <c r="B157" s="3" t="s">
        <v>60</v>
      </c>
      <c r="C157">
        <v>0.79</v>
      </c>
      <c r="D157">
        <v>11.4</v>
      </c>
      <c r="E157">
        <v>115175</v>
      </c>
      <c r="G157"/>
    </row>
    <row r="158" spans="1:7" x14ac:dyDescent="0.25">
      <c r="A158" s="3" t="s">
        <v>6</v>
      </c>
      <c r="B158" s="3" t="s">
        <v>162</v>
      </c>
      <c r="C158">
        <v>0.59199999999999997</v>
      </c>
      <c r="D158">
        <v>8.5</v>
      </c>
      <c r="E158">
        <v>26761</v>
      </c>
      <c r="G158"/>
    </row>
    <row r="159" spans="1:7" x14ac:dyDescent="0.25">
      <c r="A159" s="3" t="s">
        <v>8</v>
      </c>
      <c r="B159" s="3" t="s">
        <v>140</v>
      </c>
      <c r="C159">
        <v>0.61899999999999999</v>
      </c>
      <c r="D159">
        <v>9.6999999999999993</v>
      </c>
      <c r="E159">
        <v>40162</v>
      </c>
      <c r="G159"/>
    </row>
    <row r="160" spans="1:7" x14ac:dyDescent="0.25">
      <c r="A160" s="3" t="s">
        <v>15</v>
      </c>
      <c r="B160" s="3" t="s">
        <v>161</v>
      </c>
      <c r="C160">
        <v>0.54</v>
      </c>
      <c r="D160">
        <v>8.8000000000000007</v>
      </c>
      <c r="E160">
        <v>27161</v>
      </c>
      <c r="G160"/>
    </row>
    <row r="161" spans="1:7" x14ac:dyDescent="0.25">
      <c r="A161" s="3" t="s">
        <v>15</v>
      </c>
      <c r="B161" s="3" t="s">
        <v>79</v>
      </c>
      <c r="C161">
        <v>0.74299999999999999</v>
      </c>
      <c r="D161">
        <v>11.4</v>
      </c>
      <c r="E161">
        <v>84403</v>
      </c>
      <c r="G161"/>
    </row>
    <row r="162" spans="1:7" x14ac:dyDescent="0.25">
      <c r="A162" s="3" t="s">
        <v>15</v>
      </c>
      <c r="B162" s="3" t="s">
        <v>120</v>
      </c>
      <c r="C162">
        <v>0.63500000000000001</v>
      </c>
      <c r="D162">
        <v>9.5</v>
      </c>
      <c r="E162">
        <v>47829</v>
      </c>
      <c r="G162"/>
    </row>
    <row r="163" spans="1:7" x14ac:dyDescent="0.25">
      <c r="A163" s="3" t="s">
        <v>5</v>
      </c>
      <c r="B163" s="3" t="s">
        <v>137</v>
      </c>
      <c r="C163">
        <v>0.61</v>
      </c>
      <c r="D163">
        <v>8.1999999999999993</v>
      </c>
      <c r="E163">
        <v>41585</v>
      </c>
      <c r="G163"/>
    </row>
    <row r="164" spans="1:7" x14ac:dyDescent="0.25">
      <c r="A164" s="3" t="s">
        <v>15</v>
      </c>
      <c r="B164" s="3" t="s">
        <v>156</v>
      </c>
      <c r="C164">
        <v>0.56799999999999995</v>
      </c>
      <c r="D164">
        <v>9</v>
      </c>
      <c r="E164">
        <v>32223</v>
      </c>
      <c r="G164"/>
    </row>
    <row r="165" spans="1:7" x14ac:dyDescent="0.25">
      <c r="A165" s="3" t="s">
        <v>6</v>
      </c>
      <c r="B165" s="3" t="s">
        <v>55</v>
      </c>
      <c r="C165">
        <v>0.80100000000000005</v>
      </c>
      <c r="D165">
        <v>12.2</v>
      </c>
      <c r="E165">
        <v>126087</v>
      </c>
      <c r="G165"/>
    </row>
    <row r="166" spans="1:7" x14ac:dyDescent="0.25">
      <c r="A166" s="3" t="s">
        <v>8</v>
      </c>
      <c r="B166" s="3" t="s">
        <v>80</v>
      </c>
      <c r="C166">
        <v>0.72299999999999998</v>
      </c>
      <c r="D166">
        <v>10.6</v>
      </c>
      <c r="E166">
        <v>83017</v>
      </c>
      <c r="G166"/>
    </row>
    <row r="167" spans="1:7" x14ac:dyDescent="0.25">
      <c r="A167" s="3" t="s">
        <v>10</v>
      </c>
      <c r="B167" s="3" t="s">
        <v>104</v>
      </c>
      <c r="C167">
        <v>0.69499999999999995</v>
      </c>
      <c r="D167">
        <v>9.8000000000000007</v>
      </c>
      <c r="E167">
        <v>61987</v>
      </c>
      <c r="G167"/>
    </row>
    <row r="168" spans="1:7" x14ac:dyDescent="0.25">
      <c r="A168" s="3" t="s">
        <v>12</v>
      </c>
      <c r="B168" s="3" t="s">
        <v>177</v>
      </c>
      <c r="C168">
        <v>0.45500000000000002</v>
      </c>
      <c r="D168">
        <v>7.6</v>
      </c>
      <c r="E168">
        <v>16309</v>
      </c>
      <c r="G168"/>
    </row>
    <row r="169" spans="1:7" x14ac:dyDescent="0.25">
      <c r="A169" s="3" t="s">
        <v>5</v>
      </c>
      <c r="B169" s="3" t="s">
        <v>194</v>
      </c>
      <c r="C169">
        <v>0.78600000000000003</v>
      </c>
      <c r="D169">
        <v>11.5</v>
      </c>
      <c r="E169">
        <v>112682</v>
      </c>
      <c r="G169"/>
    </row>
    <row r="170" spans="1:7" x14ac:dyDescent="0.25">
      <c r="A170" s="3" t="s">
        <v>8</v>
      </c>
      <c r="B170" s="3" t="s">
        <v>138</v>
      </c>
      <c r="C170">
        <v>0.627</v>
      </c>
      <c r="D170">
        <v>9.4</v>
      </c>
      <c r="E170">
        <v>41350</v>
      </c>
      <c r="G170"/>
    </row>
    <row r="171" spans="1:7" x14ac:dyDescent="0.25">
      <c r="A171" s="3" t="s">
        <v>15</v>
      </c>
      <c r="B171" s="3" t="s">
        <v>16</v>
      </c>
      <c r="C171">
        <v>0.82299999999999995</v>
      </c>
      <c r="D171">
        <v>13.8</v>
      </c>
      <c r="E171">
        <v>142252</v>
      </c>
      <c r="G171"/>
    </row>
    <row r="172" spans="1:7" x14ac:dyDescent="0.25">
      <c r="A172" s="3" t="s">
        <v>10</v>
      </c>
      <c r="B172" s="3" t="s">
        <v>99</v>
      </c>
      <c r="C172">
        <v>0.69899999999999995</v>
      </c>
      <c r="D172">
        <v>11.1</v>
      </c>
      <c r="E172">
        <v>65873</v>
      </c>
      <c r="G172"/>
    </row>
    <row r="173" spans="1:7" x14ac:dyDescent="0.25">
      <c r="A173" s="3" t="s">
        <v>5</v>
      </c>
      <c r="B173" s="3" t="s">
        <v>29</v>
      </c>
      <c r="C173">
        <v>0.82299999999999995</v>
      </c>
      <c r="D173">
        <v>13.6</v>
      </c>
      <c r="E173">
        <v>146546</v>
      </c>
      <c r="G173"/>
    </row>
    <row r="174" spans="1:7" x14ac:dyDescent="0.25">
      <c r="A174" s="3" t="s">
        <v>12</v>
      </c>
      <c r="B174" s="3" t="s">
        <v>153</v>
      </c>
      <c r="C174">
        <v>0.59199999999999997</v>
      </c>
      <c r="D174">
        <v>9.1</v>
      </c>
      <c r="E174">
        <v>32898</v>
      </c>
      <c r="G174"/>
    </row>
    <row r="175" spans="1:7" x14ac:dyDescent="0.25">
      <c r="A175" s="3" t="s">
        <v>15</v>
      </c>
      <c r="B175" s="3" t="s">
        <v>132</v>
      </c>
      <c r="C175">
        <v>0.65600000000000003</v>
      </c>
      <c r="D175">
        <v>9.6999999999999993</v>
      </c>
      <c r="E175">
        <v>43471</v>
      </c>
      <c r="G175"/>
    </row>
    <row r="176" spans="1:7" x14ac:dyDescent="0.25">
      <c r="A176" s="3" t="s">
        <v>15</v>
      </c>
      <c r="B176" s="3" t="s">
        <v>176</v>
      </c>
      <c r="C176">
        <v>0.47599999999999998</v>
      </c>
      <c r="D176">
        <v>8</v>
      </c>
      <c r="E176">
        <v>17532</v>
      </c>
      <c r="G176"/>
    </row>
    <row r="177" spans="1:7" x14ac:dyDescent="0.25">
      <c r="A177" s="3" t="s">
        <v>10</v>
      </c>
      <c r="B177" s="3" t="s">
        <v>125</v>
      </c>
      <c r="C177">
        <v>0.61799999999999999</v>
      </c>
      <c r="D177">
        <v>9.1999999999999993</v>
      </c>
      <c r="E177">
        <v>46326</v>
      </c>
      <c r="G177"/>
    </row>
    <row r="178" spans="1:7" x14ac:dyDescent="0.25">
      <c r="A178" s="3" t="s">
        <v>15</v>
      </c>
      <c r="B178" s="3" t="s">
        <v>58</v>
      </c>
      <c r="C178">
        <v>0.8</v>
      </c>
      <c r="D178">
        <v>11.4</v>
      </c>
      <c r="E178">
        <v>119181</v>
      </c>
      <c r="G178"/>
    </row>
    <row r="179" spans="1:7" x14ac:dyDescent="0.25">
      <c r="A179" s="3" t="s">
        <v>6</v>
      </c>
      <c r="B179" s="3" t="s">
        <v>157</v>
      </c>
      <c r="C179">
        <v>0.59199999999999997</v>
      </c>
      <c r="D179">
        <v>8.5</v>
      </c>
      <c r="E179">
        <v>29940</v>
      </c>
      <c r="G179"/>
    </row>
    <row r="180" spans="1:7" x14ac:dyDescent="0.25">
      <c r="A180" s="3" t="s">
        <v>12</v>
      </c>
      <c r="B180" s="3" t="s">
        <v>179</v>
      </c>
      <c r="C180">
        <v>0.5</v>
      </c>
      <c r="D180">
        <v>6.7</v>
      </c>
      <c r="E180">
        <v>14580</v>
      </c>
      <c r="G180"/>
    </row>
    <row r="181" spans="1:7" x14ac:dyDescent="0.25">
      <c r="A181" s="3" t="s">
        <v>12</v>
      </c>
      <c r="B181" s="3" t="s">
        <v>148</v>
      </c>
      <c r="C181">
        <v>0.60499999999999998</v>
      </c>
      <c r="D181">
        <v>9.6999999999999993</v>
      </c>
      <c r="E181">
        <v>34970</v>
      </c>
      <c r="G181"/>
    </row>
    <row r="182" spans="1:7" x14ac:dyDescent="0.25">
      <c r="A182" s="3" t="s">
        <v>8</v>
      </c>
      <c r="B182" s="3" t="s">
        <v>76</v>
      </c>
      <c r="C182">
        <v>0.747</v>
      </c>
      <c r="D182">
        <v>11.8</v>
      </c>
      <c r="E182">
        <v>86805</v>
      </c>
      <c r="G182"/>
    </row>
    <row r="183" spans="1:7" x14ac:dyDescent="0.25">
      <c r="A183" s="3" t="s">
        <v>5</v>
      </c>
      <c r="B183" s="3" t="s">
        <v>119</v>
      </c>
      <c r="C183">
        <v>0.624</v>
      </c>
      <c r="D183">
        <v>9.9</v>
      </c>
      <c r="E183">
        <v>49172</v>
      </c>
      <c r="G183"/>
    </row>
    <row r="184" spans="1:7" x14ac:dyDescent="0.25">
      <c r="A184" s="3" t="s">
        <v>15</v>
      </c>
      <c r="B184" s="3" t="s">
        <v>129</v>
      </c>
      <c r="C184">
        <v>0.64600000000000002</v>
      </c>
      <c r="D184">
        <v>9.4</v>
      </c>
      <c r="E184">
        <v>44581</v>
      </c>
      <c r="G184"/>
    </row>
    <row r="185" spans="1:7" x14ac:dyDescent="0.25">
      <c r="A185" s="3" t="s">
        <v>10</v>
      </c>
      <c r="B185" s="3" t="s">
        <v>82</v>
      </c>
      <c r="C185">
        <v>0.72899999999999998</v>
      </c>
      <c r="D185">
        <v>9.8000000000000007</v>
      </c>
      <c r="E185">
        <v>81546</v>
      </c>
      <c r="G185"/>
    </row>
    <row r="186" spans="1:7" x14ac:dyDescent="0.25">
      <c r="A186" s="3" t="s">
        <v>10</v>
      </c>
      <c r="B186" s="3" t="s">
        <v>163</v>
      </c>
      <c r="C186">
        <v>0.57899999999999996</v>
      </c>
      <c r="D186">
        <v>8.6999999999999993</v>
      </c>
      <c r="E186">
        <v>26681</v>
      </c>
      <c r="G186"/>
    </row>
    <row r="187" spans="1:7" x14ac:dyDescent="0.25">
      <c r="A187" s="3" t="s">
        <v>15</v>
      </c>
      <c r="B187" s="3" t="s">
        <v>195</v>
      </c>
      <c r="C187">
        <v>0.63300000000000001</v>
      </c>
      <c r="D187">
        <v>8.8000000000000007</v>
      </c>
      <c r="E187">
        <v>42552</v>
      </c>
      <c r="G187"/>
    </row>
    <row r="188" spans="1:7" x14ac:dyDescent="0.25">
      <c r="A188" s="3" t="s">
        <v>10</v>
      </c>
      <c r="B188" s="3" t="s">
        <v>152</v>
      </c>
      <c r="C188">
        <v>0.61299999999999999</v>
      </c>
      <c r="D188">
        <v>8.5</v>
      </c>
      <c r="E188">
        <v>33228</v>
      </c>
      <c r="G188"/>
    </row>
    <row r="189" spans="1:7" x14ac:dyDescent="0.25">
      <c r="A189" s="3" t="s">
        <v>8</v>
      </c>
      <c r="B189" s="3" t="s">
        <v>192</v>
      </c>
      <c r="C189">
        <v>0.82399999999999995</v>
      </c>
      <c r="D189">
        <v>12.5</v>
      </c>
      <c r="E189">
        <v>143908</v>
      </c>
      <c r="G189"/>
    </row>
    <row r="190" spans="1:7" x14ac:dyDescent="0.25">
      <c r="A190" s="3" t="s">
        <v>10</v>
      </c>
      <c r="B190" s="3" t="s">
        <v>197</v>
      </c>
      <c r="C190">
        <v>0.51100000000000001</v>
      </c>
      <c r="D190">
        <v>6.9</v>
      </c>
      <c r="E190">
        <v>22119</v>
      </c>
      <c r="G190"/>
    </row>
    <row r="191" spans="1:7" x14ac:dyDescent="0.25">
      <c r="A191" s="3" t="s">
        <v>5</v>
      </c>
      <c r="B191" s="3" t="s">
        <v>65</v>
      </c>
      <c r="C191">
        <v>0.79200000000000004</v>
      </c>
      <c r="D191">
        <v>11.8</v>
      </c>
      <c r="E191">
        <v>109309</v>
      </c>
      <c r="G191"/>
    </row>
    <row r="192" spans="1:7" x14ac:dyDescent="0.25">
      <c r="A192" s="3" t="s">
        <v>8</v>
      </c>
      <c r="B192" s="3" t="s">
        <v>103</v>
      </c>
      <c r="C192">
        <v>0.67200000000000004</v>
      </c>
      <c r="D192">
        <v>9.5</v>
      </c>
      <c r="E192">
        <v>62289</v>
      </c>
      <c r="G192"/>
    </row>
    <row r="193" spans="1:7" x14ac:dyDescent="0.25">
      <c r="A193" s="3" t="s">
        <v>12</v>
      </c>
      <c r="B193" s="3" t="s">
        <v>84</v>
      </c>
      <c r="C193">
        <v>0.70799999999999996</v>
      </c>
      <c r="D193">
        <v>10.6</v>
      </c>
      <c r="E193">
        <v>77274</v>
      </c>
      <c r="G193"/>
    </row>
    <row r="194" spans="1:7" x14ac:dyDescent="0.25">
      <c r="A194" s="3" t="s">
        <v>12</v>
      </c>
      <c r="B194" s="3" t="s">
        <v>175</v>
      </c>
      <c r="C194">
        <v>0.42899999999999999</v>
      </c>
      <c r="D194">
        <v>6.6</v>
      </c>
      <c r="E194">
        <v>17759</v>
      </c>
      <c r="G194"/>
    </row>
  </sheetData>
  <autoFilter ref="A1:E194" xr:uid="{00000000-0001-0000-0000-000000000000}"/>
  <sortState xmlns:xlrd2="http://schemas.microsoft.com/office/spreadsheetml/2017/richdata2" ref="G14:I19">
    <sortCondition descending="1" ref="I14:I19"/>
  </sortState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56D3-4433-4482-8C25-CF882AB85299}">
  <dimension ref="A1:D194"/>
  <sheetViews>
    <sheetView workbookViewId="0">
      <selection activeCell="D1" sqref="D1"/>
    </sheetView>
  </sheetViews>
  <sheetFormatPr defaultRowHeight="15" x14ac:dyDescent="0.25"/>
  <cols>
    <col min="1" max="1" width="28.28515625" style="3" customWidth="1"/>
    <col min="2" max="2" width="8.7109375" bestFit="1" customWidth="1"/>
    <col min="3" max="3" width="32.5703125" bestFit="1" customWidth="1"/>
    <col min="4" max="4" width="20.85546875" bestFit="1" customWidth="1"/>
  </cols>
  <sheetData>
    <row r="1" spans="1:4" x14ac:dyDescent="0.25">
      <c r="A1" s="2" t="s">
        <v>1</v>
      </c>
      <c r="B1" s="1" t="s">
        <v>2</v>
      </c>
      <c r="C1" s="1" t="s">
        <v>3</v>
      </c>
      <c r="D1" s="1" t="s">
        <v>4</v>
      </c>
    </row>
    <row r="2" spans="1:4" x14ac:dyDescent="0.25">
      <c r="A2" s="3" t="s">
        <v>85</v>
      </c>
      <c r="B2">
        <v>0.73299999999999998</v>
      </c>
      <c r="C2">
        <v>10.3</v>
      </c>
      <c r="D2">
        <v>76654</v>
      </c>
    </row>
    <row r="3" spans="1:4" x14ac:dyDescent="0.25">
      <c r="A3" s="3" t="s">
        <v>202</v>
      </c>
      <c r="B3">
        <v>0.82</v>
      </c>
      <c r="C3">
        <v>12.3</v>
      </c>
      <c r="D3">
        <v>142759</v>
      </c>
    </row>
    <row r="4" spans="1:4" x14ac:dyDescent="0.25">
      <c r="A4" s="3" t="s">
        <v>63</v>
      </c>
      <c r="B4">
        <v>0.80900000000000005</v>
      </c>
      <c r="C4">
        <v>12.2</v>
      </c>
      <c r="D4">
        <v>113165</v>
      </c>
    </row>
    <row r="5" spans="1:4" x14ac:dyDescent="0.25">
      <c r="A5" s="3" t="s">
        <v>35</v>
      </c>
      <c r="B5">
        <v>0.85899999999999999</v>
      </c>
      <c r="C5">
        <v>13.1</v>
      </c>
      <c r="D5">
        <v>136649</v>
      </c>
    </row>
    <row r="6" spans="1:4" x14ac:dyDescent="0.25">
      <c r="A6" s="3" t="s">
        <v>97</v>
      </c>
      <c r="B6">
        <v>0.70399999999999996</v>
      </c>
      <c r="C6">
        <v>10.6</v>
      </c>
      <c r="D6">
        <v>66463</v>
      </c>
    </row>
    <row r="7" spans="1:4" x14ac:dyDescent="0.25">
      <c r="A7" s="3" t="s">
        <v>14</v>
      </c>
      <c r="B7">
        <v>0.84399999999999997</v>
      </c>
      <c r="C7">
        <v>12.4</v>
      </c>
      <c r="D7">
        <v>142401</v>
      </c>
    </row>
    <row r="8" spans="1:4" x14ac:dyDescent="0.25">
      <c r="A8" s="3" t="s">
        <v>130</v>
      </c>
      <c r="B8">
        <v>0.625</v>
      </c>
      <c r="C8">
        <v>9.3000000000000007</v>
      </c>
      <c r="D8">
        <v>43987</v>
      </c>
    </row>
    <row r="9" spans="1:4" x14ac:dyDescent="0.25">
      <c r="A9" s="3" t="s">
        <v>146</v>
      </c>
      <c r="B9">
        <v>0.59699999999999998</v>
      </c>
      <c r="C9">
        <v>8.6999999999999993</v>
      </c>
      <c r="D9">
        <v>36238</v>
      </c>
    </row>
    <row r="10" spans="1:4" x14ac:dyDescent="0.25">
      <c r="A10" s="3" t="s">
        <v>121</v>
      </c>
      <c r="B10">
        <v>0.63800000000000001</v>
      </c>
      <c r="C10">
        <v>9.9</v>
      </c>
      <c r="D10">
        <v>47632</v>
      </c>
    </row>
    <row r="11" spans="1:4" x14ac:dyDescent="0.25">
      <c r="A11" s="3" t="s">
        <v>39</v>
      </c>
      <c r="B11">
        <v>0.85499999999999998</v>
      </c>
      <c r="C11">
        <v>12.9</v>
      </c>
      <c r="D11">
        <v>126087</v>
      </c>
    </row>
    <row r="12" spans="1:4" x14ac:dyDescent="0.25">
      <c r="A12" s="3" t="s">
        <v>155</v>
      </c>
      <c r="B12">
        <v>0.57899999999999996</v>
      </c>
      <c r="C12">
        <v>8.8000000000000007</v>
      </c>
      <c r="D12">
        <v>32282</v>
      </c>
    </row>
    <row r="13" spans="1:4" x14ac:dyDescent="0.25">
      <c r="A13" s="3" t="s">
        <v>112</v>
      </c>
      <c r="B13">
        <v>0.66700000000000004</v>
      </c>
      <c r="C13">
        <v>9.4</v>
      </c>
      <c r="D13">
        <v>53637</v>
      </c>
    </row>
    <row r="14" spans="1:4" x14ac:dyDescent="0.25">
      <c r="A14" s="3" t="s">
        <v>52</v>
      </c>
      <c r="B14">
        <v>0.81299999999999994</v>
      </c>
      <c r="C14">
        <v>12.4</v>
      </c>
      <c r="D14">
        <v>133291</v>
      </c>
    </row>
    <row r="15" spans="1:4" x14ac:dyDescent="0.25">
      <c r="A15" s="3" t="s">
        <v>24</v>
      </c>
      <c r="B15">
        <v>0.83199999999999996</v>
      </c>
      <c r="C15">
        <v>12.5</v>
      </c>
      <c r="D15">
        <v>126087</v>
      </c>
    </row>
    <row r="16" spans="1:4" x14ac:dyDescent="0.25">
      <c r="A16" s="3" t="s">
        <v>42</v>
      </c>
      <c r="B16">
        <v>0.82</v>
      </c>
      <c r="C16">
        <v>13.1</v>
      </c>
      <c r="D16">
        <v>120124</v>
      </c>
    </row>
    <row r="17" spans="1:4" x14ac:dyDescent="0.25">
      <c r="A17" s="3" t="s">
        <v>187</v>
      </c>
      <c r="B17">
        <v>0.39</v>
      </c>
      <c r="C17">
        <v>5.3</v>
      </c>
      <c r="D17">
        <v>9305</v>
      </c>
    </row>
    <row r="18" spans="1:4" x14ac:dyDescent="0.25">
      <c r="A18" s="3" t="s">
        <v>98</v>
      </c>
      <c r="B18">
        <v>0.66700000000000004</v>
      </c>
      <c r="C18">
        <v>10.8</v>
      </c>
      <c r="D18">
        <v>65961</v>
      </c>
    </row>
    <row r="19" spans="1:4" x14ac:dyDescent="0.25">
      <c r="A19" s="3" t="s">
        <v>159</v>
      </c>
      <c r="B19">
        <v>0.53200000000000003</v>
      </c>
      <c r="C19">
        <v>6.4</v>
      </c>
      <c r="D19">
        <v>28503</v>
      </c>
    </row>
    <row r="20" spans="1:4" x14ac:dyDescent="0.25">
      <c r="A20" s="3" t="s">
        <v>106</v>
      </c>
      <c r="B20">
        <v>0.69199999999999995</v>
      </c>
      <c r="C20">
        <v>10.4</v>
      </c>
      <c r="D20">
        <v>61189</v>
      </c>
    </row>
    <row r="21" spans="1:4" x14ac:dyDescent="0.25">
      <c r="A21" s="3" t="s">
        <v>45</v>
      </c>
      <c r="B21">
        <v>0.82299999999999995</v>
      </c>
      <c r="C21">
        <v>12.3</v>
      </c>
      <c r="D21">
        <v>145194</v>
      </c>
    </row>
    <row r="22" spans="1:4" x14ac:dyDescent="0.25">
      <c r="A22" s="3" t="s">
        <v>189</v>
      </c>
      <c r="B22">
        <v>0.85299999999999998</v>
      </c>
      <c r="C22">
        <v>14.1</v>
      </c>
      <c r="D22">
        <v>126087</v>
      </c>
    </row>
    <row r="23" spans="1:4" x14ac:dyDescent="0.25">
      <c r="A23" s="3" t="s">
        <v>198</v>
      </c>
      <c r="B23">
        <v>0.442</v>
      </c>
      <c r="C23">
        <v>7.3</v>
      </c>
      <c r="D23">
        <v>18426</v>
      </c>
    </row>
    <row r="24" spans="1:4" x14ac:dyDescent="0.25">
      <c r="A24" s="3" t="s">
        <v>108</v>
      </c>
      <c r="B24">
        <v>0.66700000000000004</v>
      </c>
      <c r="C24">
        <v>9.6999999999999993</v>
      </c>
      <c r="D24">
        <v>57382</v>
      </c>
    </row>
    <row r="25" spans="1:4" x14ac:dyDescent="0.25">
      <c r="A25" s="3" t="s">
        <v>71</v>
      </c>
      <c r="B25">
        <v>0.754</v>
      </c>
      <c r="C25">
        <v>11</v>
      </c>
      <c r="D25">
        <v>93174</v>
      </c>
    </row>
    <row r="26" spans="1:4" x14ac:dyDescent="0.25">
      <c r="A26" s="3" t="s">
        <v>7</v>
      </c>
      <c r="B26">
        <v>0.84599999999999997</v>
      </c>
      <c r="C26">
        <v>13.7</v>
      </c>
      <c r="D26">
        <v>146546</v>
      </c>
    </row>
    <row r="27" spans="1:4" x14ac:dyDescent="0.25">
      <c r="A27" s="4" t="s">
        <v>204</v>
      </c>
      <c r="B27">
        <v>0.82299999999999995</v>
      </c>
      <c r="C27">
        <v>13.6</v>
      </c>
      <c r="D27">
        <v>139360</v>
      </c>
    </row>
    <row r="28" spans="1:4" x14ac:dyDescent="0.25">
      <c r="A28" s="3" t="s">
        <v>117</v>
      </c>
      <c r="B28">
        <v>0.63200000000000001</v>
      </c>
      <c r="C28">
        <v>9.9</v>
      </c>
      <c r="D28">
        <v>50191</v>
      </c>
    </row>
    <row r="29" spans="1:4" x14ac:dyDescent="0.25">
      <c r="A29" s="3" t="s">
        <v>30</v>
      </c>
      <c r="B29">
        <v>0.82399999999999995</v>
      </c>
      <c r="C29">
        <v>13.4</v>
      </c>
      <c r="D29">
        <v>145194</v>
      </c>
    </row>
    <row r="30" spans="1:4" x14ac:dyDescent="0.25">
      <c r="A30" s="3" t="s">
        <v>86</v>
      </c>
      <c r="B30">
        <v>0.73399999999999999</v>
      </c>
      <c r="C30">
        <v>11</v>
      </c>
      <c r="D30">
        <v>76412</v>
      </c>
    </row>
    <row r="31" spans="1:4" x14ac:dyDescent="0.25">
      <c r="A31" s="3" t="s">
        <v>131</v>
      </c>
      <c r="B31">
        <v>0.65100000000000002</v>
      </c>
      <c r="C31">
        <v>9.6999999999999993</v>
      </c>
      <c r="D31">
        <v>43526</v>
      </c>
    </row>
    <row r="32" spans="1:4" x14ac:dyDescent="0.25">
      <c r="A32" s="3" t="s">
        <v>51</v>
      </c>
      <c r="B32">
        <v>0.82299999999999995</v>
      </c>
      <c r="C32">
        <v>12.4</v>
      </c>
      <c r="D32">
        <v>134803</v>
      </c>
    </row>
    <row r="33" spans="1:4" x14ac:dyDescent="0.25">
      <c r="A33" s="3" t="s">
        <v>95</v>
      </c>
      <c r="B33">
        <v>0.69899999999999995</v>
      </c>
      <c r="C33">
        <v>9.6999999999999993</v>
      </c>
      <c r="D33">
        <v>67186</v>
      </c>
    </row>
    <row r="34" spans="1:4" x14ac:dyDescent="0.25">
      <c r="A34" s="3" t="s">
        <v>180</v>
      </c>
      <c r="B34">
        <v>0.45200000000000001</v>
      </c>
      <c r="C34">
        <v>6</v>
      </c>
      <c r="D34">
        <v>14047</v>
      </c>
    </row>
    <row r="35" spans="1:4" x14ac:dyDescent="0.25">
      <c r="A35" s="3" t="s">
        <v>74</v>
      </c>
      <c r="B35">
        <v>0.749</v>
      </c>
      <c r="C35">
        <v>11.6</v>
      </c>
      <c r="D35">
        <v>88766</v>
      </c>
    </row>
    <row r="36" spans="1:4" x14ac:dyDescent="0.25">
      <c r="A36" s="3" t="s">
        <v>9</v>
      </c>
      <c r="B36">
        <v>0.84599999999999997</v>
      </c>
      <c r="C36">
        <v>12.4</v>
      </c>
      <c r="D36">
        <v>145194</v>
      </c>
    </row>
    <row r="37" spans="1:4" x14ac:dyDescent="0.25">
      <c r="A37" s="3" t="s">
        <v>110</v>
      </c>
      <c r="B37">
        <v>0.66100000000000003</v>
      </c>
      <c r="C37">
        <v>10.3</v>
      </c>
      <c r="D37">
        <v>55356</v>
      </c>
    </row>
    <row r="38" spans="1:4" x14ac:dyDescent="0.25">
      <c r="A38" s="3" t="s">
        <v>70</v>
      </c>
      <c r="B38">
        <v>0.75</v>
      </c>
      <c r="C38">
        <v>10.8</v>
      </c>
      <c r="D38">
        <v>93215</v>
      </c>
    </row>
    <row r="39" spans="1:4" x14ac:dyDescent="0.25">
      <c r="A39" s="3" t="s">
        <v>149</v>
      </c>
      <c r="B39">
        <v>0.60599999999999998</v>
      </c>
      <c r="C39">
        <v>10</v>
      </c>
      <c r="D39">
        <v>34955</v>
      </c>
    </row>
    <row r="40" spans="1:4" x14ac:dyDescent="0.25">
      <c r="A40" s="3" t="s">
        <v>25</v>
      </c>
      <c r="B40">
        <v>0.82399999999999995</v>
      </c>
      <c r="C40">
        <v>13.8</v>
      </c>
      <c r="D40">
        <v>125516</v>
      </c>
    </row>
    <row r="41" spans="1:4" x14ac:dyDescent="0.25">
      <c r="A41" s="3" t="s">
        <v>92</v>
      </c>
      <c r="B41">
        <v>0.70599999999999996</v>
      </c>
      <c r="C41">
        <v>10.3</v>
      </c>
      <c r="D41">
        <v>68086</v>
      </c>
    </row>
    <row r="42" spans="1:4" x14ac:dyDescent="0.25">
      <c r="A42" s="3" t="s">
        <v>200</v>
      </c>
      <c r="B42">
        <v>0.61199999999999999</v>
      </c>
      <c r="C42">
        <v>8.6999999999999993</v>
      </c>
      <c r="D42">
        <v>37956</v>
      </c>
    </row>
    <row r="43" spans="1:4" x14ac:dyDescent="0.25">
      <c r="A43" s="3" t="s">
        <v>154</v>
      </c>
      <c r="B43">
        <v>0.58699999999999997</v>
      </c>
      <c r="C43">
        <v>7.6</v>
      </c>
      <c r="D43">
        <v>32812</v>
      </c>
    </row>
    <row r="44" spans="1:4" x14ac:dyDescent="0.25">
      <c r="A44" s="3" t="s">
        <v>22</v>
      </c>
      <c r="B44">
        <v>0.81599999999999995</v>
      </c>
      <c r="C44">
        <v>13.4</v>
      </c>
      <c r="D44">
        <v>132108</v>
      </c>
    </row>
    <row r="45" spans="1:4" x14ac:dyDescent="0.25">
      <c r="A45" s="3" t="s">
        <v>105</v>
      </c>
      <c r="B45">
        <v>0.68600000000000005</v>
      </c>
      <c r="C45">
        <v>10.5</v>
      </c>
      <c r="D45">
        <v>61404</v>
      </c>
    </row>
    <row r="46" spans="1:4" x14ac:dyDescent="0.25">
      <c r="A46" s="3" t="s">
        <v>49</v>
      </c>
      <c r="B46">
        <v>0.84099999999999997</v>
      </c>
      <c r="C46">
        <v>12.6</v>
      </c>
      <c r="D46">
        <v>138940</v>
      </c>
    </row>
    <row r="47" spans="1:4" x14ac:dyDescent="0.25">
      <c r="A47" s="3" t="s">
        <v>37</v>
      </c>
      <c r="B47">
        <v>0.81399999999999995</v>
      </c>
      <c r="C47">
        <v>12.9</v>
      </c>
      <c r="D47">
        <v>132108</v>
      </c>
    </row>
    <row r="48" spans="1:4" x14ac:dyDescent="0.25">
      <c r="A48" s="3" t="s">
        <v>50</v>
      </c>
      <c r="B48">
        <v>0.81599999999999995</v>
      </c>
      <c r="C48">
        <v>12.1</v>
      </c>
      <c r="D48">
        <v>136649</v>
      </c>
    </row>
    <row r="49" spans="1:4" x14ac:dyDescent="0.25">
      <c r="A49" s="3" t="s">
        <v>77</v>
      </c>
      <c r="B49">
        <v>0.73699999999999999</v>
      </c>
      <c r="C49">
        <v>11.9</v>
      </c>
      <c r="D49">
        <v>85592</v>
      </c>
    </row>
    <row r="50" spans="1:4" x14ac:dyDescent="0.25">
      <c r="A50" s="3" t="s">
        <v>174</v>
      </c>
      <c r="B50">
        <v>0.51</v>
      </c>
      <c r="C50">
        <v>8.6999999999999993</v>
      </c>
      <c r="D50">
        <v>18204</v>
      </c>
    </row>
    <row r="51" spans="1:4" x14ac:dyDescent="0.25">
      <c r="A51" s="3" t="s">
        <v>128</v>
      </c>
      <c r="B51">
        <v>0.64200000000000002</v>
      </c>
      <c r="C51">
        <v>9.4</v>
      </c>
      <c r="D51">
        <v>44770</v>
      </c>
    </row>
    <row r="52" spans="1:4" x14ac:dyDescent="0.25">
      <c r="A52" s="3" t="s">
        <v>147</v>
      </c>
      <c r="B52">
        <v>0.57599999999999996</v>
      </c>
      <c r="C52">
        <v>9.3000000000000007</v>
      </c>
      <c r="D52">
        <v>36163</v>
      </c>
    </row>
    <row r="53" spans="1:4" x14ac:dyDescent="0.25">
      <c r="A53" s="3" t="s">
        <v>57</v>
      </c>
      <c r="B53">
        <v>0.81</v>
      </c>
      <c r="C53">
        <v>11.5</v>
      </c>
      <c r="D53">
        <v>120124</v>
      </c>
    </row>
    <row r="54" spans="1:4" x14ac:dyDescent="0.25">
      <c r="A54" s="3" t="s">
        <v>69</v>
      </c>
      <c r="B54">
        <v>0.76700000000000002</v>
      </c>
      <c r="C54">
        <v>11.6</v>
      </c>
      <c r="D54">
        <v>95695</v>
      </c>
    </row>
    <row r="55" spans="1:4" x14ac:dyDescent="0.25">
      <c r="A55" s="3" t="s">
        <v>75</v>
      </c>
      <c r="B55">
        <v>0.76100000000000001</v>
      </c>
      <c r="C55">
        <v>11.2</v>
      </c>
      <c r="D55">
        <v>87002</v>
      </c>
    </row>
    <row r="56" spans="1:4" x14ac:dyDescent="0.25">
      <c r="A56" s="3" t="s">
        <v>44</v>
      </c>
      <c r="B56">
        <v>0.83499999999999996</v>
      </c>
      <c r="C56">
        <v>12.5</v>
      </c>
      <c r="D56">
        <v>146546</v>
      </c>
    </row>
    <row r="57" spans="1:4" x14ac:dyDescent="0.25">
      <c r="A57" s="3" t="s">
        <v>168</v>
      </c>
      <c r="B57">
        <v>0.53200000000000003</v>
      </c>
      <c r="C57">
        <v>7</v>
      </c>
      <c r="D57">
        <v>23734</v>
      </c>
    </row>
    <row r="58" spans="1:4" x14ac:dyDescent="0.25">
      <c r="A58" s="3" t="s">
        <v>94</v>
      </c>
      <c r="B58">
        <v>0.69699999999999995</v>
      </c>
      <c r="C58">
        <v>10.1</v>
      </c>
      <c r="D58">
        <v>67666</v>
      </c>
    </row>
    <row r="59" spans="1:4" x14ac:dyDescent="0.25">
      <c r="A59" s="3" t="s">
        <v>186</v>
      </c>
      <c r="B59">
        <v>0.42099999999999999</v>
      </c>
      <c r="C59">
        <v>5.6</v>
      </c>
      <c r="D59">
        <v>9409</v>
      </c>
    </row>
    <row r="60" spans="1:4" x14ac:dyDescent="0.25">
      <c r="A60" s="3" t="s">
        <v>164</v>
      </c>
      <c r="B60">
        <v>0.52500000000000002</v>
      </c>
      <c r="C60">
        <v>8.1</v>
      </c>
      <c r="D60">
        <v>26104</v>
      </c>
    </row>
    <row r="61" spans="1:4" x14ac:dyDescent="0.25">
      <c r="A61" s="3" t="s">
        <v>62</v>
      </c>
      <c r="B61">
        <v>0.80100000000000005</v>
      </c>
      <c r="C61">
        <v>11.9</v>
      </c>
      <c r="D61">
        <v>113730</v>
      </c>
    </row>
    <row r="62" spans="1:4" x14ac:dyDescent="0.25">
      <c r="A62" s="3" t="s">
        <v>136</v>
      </c>
      <c r="B62">
        <v>0.63100000000000001</v>
      </c>
      <c r="C62">
        <v>8.9</v>
      </c>
      <c r="D62">
        <v>41641</v>
      </c>
    </row>
    <row r="63" spans="1:4" x14ac:dyDescent="0.25">
      <c r="A63" s="3" t="s">
        <v>133</v>
      </c>
      <c r="B63">
        <v>0.63</v>
      </c>
      <c r="C63">
        <v>9.4</v>
      </c>
      <c r="D63">
        <v>42938</v>
      </c>
    </row>
    <row r="64" spans="1:4" x14ac:dyDescent="0.25">
      <c r="A64" s="3" t="s">
        <v>66</v>
      </c>
      <c r="B64">
        <v>0.77500000000000002</v>
      </c>
      <c r="C64">
        <v>12.3</v>
      </c>
      <c r="D64">
        <v>103267</v>
      </c>
    </row>
    <row r="65" spans="1:4" x14ac:dyDescent="0.25">
      <c r="A65" s="3" t="s">
        <v>142</v>
      </c>
      <c r="B65">
        <v>0.61899999999999999</v>
      </c>
      <c r="C65">
        <v>10.3</v>
      </c>
      <c r="D65">
        <v>38514</v>
      </c>
    </row>
    <row r="66" spans="1:4" x14ac:dyDescent="0.25">
      <c r="A66" s="3" t="s">
        <v>72</v>
      </c>
      <c r="B66">
        <v>0.76100000000000001</v>
      </c>
      <c r="C66">
        <v>11.3</v>
      </c>
      <c r="D66">
        <v>92925</v>
      </c>
    </row>
    <row r="67" spans="1:4" x14ac:dyDescent="0.25">
      <c r="A67" s="3" t="s">
        <v>41</v>
      </c>
      <c r="B67">
        <v>0.82799999999999996</v>
      </c>
      <c r="C67">
        <v>12.8</v>
      </c>
      <c r="D67">
        <v>121063</v>
      </c>
    </row>
    <row r="68" spans="1:4" x14ac:dyDescent="0.25">
      <c r="A68" s="3" t="s">
        <v>88</v>
      </c>
      <c r="B68">
        <v>0.72599999999999998</v>
      </c>
      <c r="C68">
        <v>11.1</v>
      </c>
      <c r="D68">
        <v>72716</v>
      </c>
    </row>
    <row r="69" spans="1:4" x14ac:dyDescent="0.25">
      <c r="A69" s="3" t="s">
        <v>46</v>
      </c>
      <c r="B69">
        <v>0.82499999999999996</v>
      </c>
      <c r="C69">
        <v>12.6</v>
      </c>
      <c r="D69">
        <v>142401</v>
      </c>
    </row>
    <row r="70" spans="1:4" x14ac:dyDescent="0.25">
      <c r="A70" s="3" t="s">
        <v>18</v>
      </c>
      <c r="B70">
        <v>0.81299999999999994</v>
      </c>
      <c r="C70">
        <v>12.8</v>
      </c>
      <c r="D70">
        <v>138940</v>
      </c>
    </row>
    <row r="71" spans="1:4" x14ac:dyDescent="0.25">
      <c r="A71" s="3" t="s">
        <v>102</v>
      </c>
      <c r="B71">
        <v>0.68400000000000005</v>
      </c>
      <c r="C71">
        <v>10.3</v>
      </c>
      <c r="D71">
        <v>62498</v>
      </c>
    </row>
    <row r="72" spans="1:4" x14ac:dyDescent="0.25">
      <c r="A72" s="3" t="s">
        <v>111</v>
      </c>
      <c r="B72">
        <v>0.66900000000000004</v>
      </c>
      <c r="C72">
        <v>9.5</v>
      </c>
      <c r="D72">
        <v>54713</v>
      </c>
    </row>
    <row r="73" spans="1:4" x14ac:dyDescent="0.25">
      <c r="A73" s="3" t="s">
        <v>27</v>
      </c>
      <c r="B73">
        <v>0.81299999999999994</v>
      </c>
      <c r="C73">
        <v>13.1</v>
      </c>
      <c r="D73">
        <v>120124</v>
      </c>
    </row>
    <row r="74" spans="1:4" x14ac:dyDescent="0.25">
      <c r="A74" s="3" t="s">
        <v>188</v>
      </c>
      <c r="B74">
        <v>0.34699999999999998</v>
      </c>
      <c r="C74">
        <v>5.9</v>
      </c>
      <c r="D74">
        <v>6976</v>
      </c>
    </row>
    <row r="75" spans="1:4" x14ac:dyDescent="0.25">
      <c r="A75" s="3" t="s">
        <v>20</v>
      </c>
      <c r="B75">
        <v>0.84599999999999997</v>
      </c>
      <c r="C75">
        <v>12.7</v>
      </c>
      <c r="D75">
        <v>134803</v>
      </c>
    </row>
    <row r="76" spans="1:4" x14ac:dyDescent="0.25">
      <c r="A76" s="3" t="s">
        <v>116</v>
      </c>
      <c r="B76">
        <v>0.64300000000000002</v>
      </c>
      <c r="C76">
        <v>10.1</v>
      </c>
      <c r="D76">
        <v>50195</v>
      </c>
    </row>
    <row r="77" spans="1:4" x14ac:dyDescent="0.25">
      <c r="A77" s="3" t="s">
        <v>59</v>
      </c>
      <c r="B77">
        <v>0.79300000000000004</v>
      </c>
      <c r="C77">
        <v>12</v>
      </c>
      <c r="D77">
        <v>118815</v>
      </c>
    </row>
    <row r="78" spans="1:4" x14ac:dyDescent="0.25">
      <c r="A78" s="3" t="s">
        <v>124</v>
      </c>
      <c r="B78">
        <v>0.64700000000000002</v>
      </c>
      <c r="C78">
        <v>9.6999999999999993</v>
      </c>
      <c r="D78">
        <v>46427</v>
      </c>
    </row>
    <row r="79" spans="1:4" x14ac:dyDescent="0.25">
      <c r="A79" s="3" t="s">
        <v>91</v>
      </c>
      <c r="B79">
        <v>0.72099999999999997</v>
      </c>
      <c r="C79">
        <v>10.9</v>
      </c>
      <c r="D79">
        <v>68179</v>
      </c>
    </row>
    <row r="80" spans="1:4" x14ac:dyDescent="0.25">
      <c r="A80" s="3" t="s">
        <v>100</v>
      </c>
      <c r="B80">
        <v>0.68400000000000005</v>
      </c>
      <c r="C80">
        <v>9.9</v>
      </c>
      <c r="D80">
        <v>65760</v>
      </c>
    </row>
    <row r="81" spans="1:4" x14ac:dyDescent="0.25">
      <c r="A81" s="3" t="s">
        <v>183</v>
      </c>
      <c r="B81">
        <v>0.41599999999999998</v>
      </c>
      <c r="C81">
        <v>7.4</v>
      </c>
      <c r="D81">
        <v>11893</v>
      </c>
    </row>
    <row r="82" spans="1:4" x14ac:dyDescent="0.25">
      <c r="A82" s="3" t="s">
        <v>170</v>
      </c>
      <c r="B82">
        <v>0.54700000000000004</v>
      </c>
      <c r="C82">
        <v>7.4</v>
      </c>
      <c r="D82">
        <v>22799</v>
      </c>
    </row>
    <row r="83" spans="1:4" x14ac:dyDescent="0.25">
      <c r="A83" s="3" t="s">
        <v>28</v>
      </c>
      <c r="B83">
        <v>0.81699999999999995</v>
      </c>
      <c r="C83">
        <v>13.6</v>
      </c>
      <c r="D83">
        <v>119427</v>
      </c>
    </row>
    <row r="84" spans="1:4" x14ac:dyDescent="0.25">
      <c r="A84" s="3" t="s">
        <v>32</v>
      </c>
      <c r="B84">
        <v>0.84199999999999997</v>
      </c>
      <c r="C84">
        <v>12.7</v>
      </c>
      <c r="D84">
        <v>142401</v>
      </c>
    </row>
    <row r="85" spans="1:4" x14ac:dyDescent="0.25">
      <c r="A85" s="3" t="s">
        <v>196</v>
      </c>
      <c r="B85">
        <v>0.60499999999999998</v>
      </c>
      <c r="C85">
        <v>8.4</v>
      </c>
      <c r="D85">
        <v>43716</v>
      </c>
    </row>
    <row r="86" spans="1:4" x14ac:dyDescent="0.25">
      <c r="A86" s="3" t="s">
        <v>118</v>
      </c>
      <c r="B86">
        <v>0.61699999999999999</v>
      </c>
      <c r="C86">
        <v>8.5</v>
      </c>
      <c r="D86">
        <v>50107</v>
      </c>
    </row>
    <row r="87" spans="1:4" x14ac:dyDescent="0.25">
      <c r="A87" s="3" t="s">
        <v>90</v>
      </c>
      <c r="B87">
        <v>0.70099999999999996</v>
      </c>
      <c r="C87">
        <v>9.9</v>
      </c>
      <c r="D87">
        <v>68378</v>
      </c>
    </row>
    <row r="88" spans="1:4" x14ac:dyDescent="0.25">
      <c r="A88" s="3" t="s">
        <v>165</v>
      </c>
      <c r="B88">
        <v>0.53500000000000003</v>
      </c>
      <c r="C88">
        <v>8.1999999999999993</v>
      </c>
      <c r="D88">
        <v>25131</v>
      </c>
    </row>
    <row r="89" spans="1:4" x14ac:dyDescent="0.25">
      <c r="A89" s="3" t="s">
        <v>185</v>
      </c>
      <c r="B89">
        <v>0.374</v>
      </c>
      <c r="C89">
        <v>4.4000000000000004</v>
      </c>
      <c r="D89">
        <v>9734</v>
      </c>
    </row>
    <row r="90" spans="1:4" x14ac:dyDescent="0.25">
      <c r="A90" s="3" t="s">
        <v>43</v>
      </c>
      <c r="B90">
        <v>0.82299999999999995</v>
      </c>
      <c r="C90">
        <v>13.1</v>
      </c>
      <c r="D90">
        <v>119427</v>
      </c>
    </row>
    <row r="91" spans="1:4" x14ac:dyDescent="0.25">
      <c r="A91" s="3" t="s">
        <v>134</v>
      </c>
      <c r="B91">
        <v>0.64100000000000001</v>
      </c>
      <c r="C91">
        <v>9.6999999999999993</v>
      </c>
      <c r="D91">
        <v>42488</v>
      </c>
    </row>
    <row r="92" spans="1:4" x14ac:dyDescent="0.25">
      <c r="A92" s="3" t="s">
        <v>48</v>
      </c>
      <c r="B92">
        <v>0.81699999999999995</v>
      </c>
      <c r="C92">
        <v>12.5</v>
      </c>
      <c r="D92">
        <v>139360</v>
      </c>
    </row>
    <row r="93" spans="1:4" x14ac:dyDescent="0.25">
      <c r="A93" s="3" t="s">
        <v>173</v>
      </c>
      <c r="B93">
        <v>0.50700000000000001</v>
      </c>
      <c r="C93">
        <v>8</v>
      </c>
      <c r="D93">
        <v>18739</v>
      </c>
    </row>
    <row r="94" spans="1:4" x14ac:dyDescent="0.25">
      <c r="A94" s="3" t="s">
        <v>167</v>
      </c>
      <c r="B94">
        <v>0.53100000000000003</v>
      </c>
      <c r="C94">
        <v>7.5</v>
      </c>
      <c r="D94">
        <v>24181</v>
      </c>
    </row>
    <row r="95" spans="1:4" x14ac:dyDescent="0.25">
      <c r="A95" s="3" t="s">
        <v>36</v>
      </c>
      <c r="B95">
        <v>0.83199999999999996</v>
      </c>
      <c r="C95">
        <v>12.8</v>
      </c>
      <c r="D95">
        <v>134803</v>
      </c>
    </row>
    <row r="96" spans="1:4" x14ac:dyDescent="0.25">
      <c r="A96" s="3" t="s">
        <v>201</v>
      </c>
      <c r="B96">
        <v>0.85299999999999998</v>
      </c>
      <c r="C96">
        <v>13.1</v>
      </c>
      <c r="D96">
        <v>143908</v>
      </c>
    </row>
    <row r="97" spans="1:4" x14ac:dyDescent="0.25">
      <c r="A97" s="3" t="s">
        <v>190</v>
      </c>
      <c r="B97">
        <v>0.78200000000000003</v>
      </c>
      <c r="C97">
        <v>11.9</v>
      </c>
      <c r="D97">
        <v>121063</v>
      </c>
    </row>
    <row r="98" spans="1:4" x14ac:dyDescent="0.25">
      <c r="A98" s="3" t="s">
        <v>68</v>
      </c>
      <c r="B98">
        <v>0.76800000000000002</v>
      </c>
      <c r="C98">
        <v>11.7</v>
      </c>
      <c r="D98">
        <v>99220</v>
      </c>
    </row>
    <row r="99" spans="1:4" x14ac:dyDescent="0.25">
      <c r="A99" s="3" t="s">
        <v>64</v>
      </c>
      <c r="B99">
        <v>0.78100000000000003</v>
      </c>
      <c r="C99">
        <v>11.6</v>
      </c>
      <c r="D99">
        <v>112595</v>
      </c>
    </row>
    <row r="100" spans="1:4" x14ac:dyDescent="0.25">
      <c r="A100" s="3" t="s">
        <v>26</v>
      </c>
      <c r="B100">
        <v>0.83899999999999997</v>
      </c>
      <c r="C100">
        <v>12.7</v>
      </c>
      <c r="D100">
        <v>121063</v>
      </c>
    </row>
    <row r="101" spans="1:4" x14ac:dyDescent="0.25">
      <c r="A101" s="3" t="s">
        <v>33</v>
      </c>
      <c r="B101">
        <v>0.81599999999999995</v>
      </c>
      <c r="C101">
        <v>13.3</v>
      </c>
      <c r="D101">
        <v>142252</v>
      </c>
    </row>
    <row r="102" spans="1:4" x14ac:dyDescent="0.25">
      <c r="A102" s="3" t="s">
        <v>40</v>
      </c>
      <c r="B102">
        <v>0.86</v>
      </c>
      <c r="C102">
        <v>13</v>
      </c>
      <c r="D102">
        <v>125516</v>
      </c>
    </row>
    <row r="103" spans="1:4" x14ac:dyDescent="0.25">
      <c r="A103" s="3" t="s">
        <v>169</v>
      </c>
      <c r="B103">
        <v>0.56599999999999995</v>
      </c>
      <c r="C103">
        <v>7.8</v>
      </c>
      <c r="D103">
        <v>23425</v>
      </c>
    </row>
    <row r="104" spans="1:4" x14ac:dyDescent="0.25">
      <c r="A104" s="3" t="s">
        <v>143</v>
      </c>
      <c r="B104">
        <v>0.65200000000000002</v>
      </c>
      <c r="C104">
        <v>9.6999999999999993</v>
      </c>
      <c r="D104">
        <v>38449</v>
      </c>
    </row>
    <row r="105" spans="1:4" x14ac:dyDescent="0.25">
      <c r="A105" s="3" t="s">
        <v>47</v>
      </c>
      <c r="B105">
        <v>0.82399999999999995</v>
      </c>
      <c r="C105">
        <v>12.3</v>
      </c>
      <c r="D105">
        <v>142252</v>
      </c>
    </row>
    <row r="106" spans="1:4" x14ac:dyDescent="0.25">
      <c r="A106" s="3" t="s">
        <v>67</v>
      </c>
      <c r="B106">
        <v>0.75900000000000001</v>
      </c>
      <c r="C106">
        <v>11.9</v>
      </c>
      <c r="D106">
        <v>99504</v>
      </c>
    </row>
    <row r="107" spans="1:4" x14ac:dyDescent="0.25">
      <c r="A107" s="3" t="s">
        <v>78</v>
      </c>
      <c r="B107">
        <v>0.73699999999999999</v>
      </c>
      <c r="C107">
        <v>9.3000000000000007</v>
      </c>
      <c r="D107">
        <v>85228</v>
      </c>
    </row>
    <row r="108" spans="1:4" x14ac:dyDescent="0.25">
      <c r="A108" s="3" t="s">
        <v>184</v>
      </c>
      <c r="B108">
        <v>0.46700000000000003</v>
      </c>
      <c r="C108">
        <v>6.7</v>
      </c>
      <c r="D108">
        <v>11479</v>
      </c>
    </row>
    <row r="109" spans="1:4" x14ac:dyDescent="0.25">
      <c r="A109" s="3" t="s">
        <v>81</v>
      </c>
      <c r="B109">
        <v>0.72899999999999998</v>
      </c>
      <c r="C109">
        <v>10.7</v>
      </c>
      <c r="D109">
        <v>82498</v>
      </c>
    </row>
    <row r="110" spans="1:4" x14ac:dyDescent="0.25">
      <c r="A110" s="3" t="s">
        <v>101</v>
      </c>
      <c r="B110">
        <v>0.68100000000000005</v>
      </c>
      <c r="C110">
        <v>9.6999999999999993</v>
      </c>
      <c r="D110">
        <v>63681</v>
      </c>
    </row>
    <row r="111" spans="1:4" x14ac:dyDescent="0.25">
      <c r="A111" s="3" t="s">
        <v>61</v>
      </c>
      <c r="B111">
        <v>0.79</v>
      </c>
      <c r="C111">
        <v>11.9</v>
      </c>
      <c r="D111">
        <v>114939</v>
      </c>
    </row>
    <row r="112" spans="1:4" x14ac:dyDescent="0.25">
      <c r="A112" s="3" t="s">
        <v>135</v>
      </c>
      <c r="B112">
        <v>0.64500000000000002</v>
      </c>
      <c r="C112">
        <v>9.1999999999999993</v>
      </c>
      <c r="D112">
        <v>42439</v>
      </c>
    </row>
    <row r="113" spans="1:4" x14ac:dyDescent="0.25">
      <c r="A113" s="3" t="s">
        <v>199</v>
      </c>
      <c r="B113">
        <v>0.433</v>
      </c>
      <c r="C113">
        <v>5.9</v>
      </c>
      <c r="D113">
        <v>14740</v>
      </c>
    </row>
    <row r="114" spans="1:4" x14ac:dyDescent="0.25">
      <c r="A114" s="3" t="s">
        <v>191</v>
      </c>
      <c r="B114">
        <v>0.85299999999999998</v>
      </c>
      <c r="C114">
        <v>12.4</v>
      </c>
      <c r="D114">
        <v>133291</v>
      </c>
    </row>
    <row r="115" spans="1:4" x14ac:dyDescent="0.25">
      <c r="A115" s="3" t="s">
        <v>13</v>
      </c>
      <c r="B115">
        <v>0.85</v>
      </c>
      <c r="C115">
        <v>12.8</v>
      </c>
      <c r="D115">
        <v>142759</v>
      </c>
    </row>
    <row r="116" spans="1:4" x14ac:dyDescent="0.25">
      <c r="A116" s="3" t="s">
        <v>151</v>
      </c>
      <c r="B116">
        <v>0.61</v>
      </c>
      <c r="C116">
        <v>8.3000000000000007</v>
      </c>
      <c r="D116">
        <v>34001</v>
      </c>
    </row>
    <row r="117" spans="1:4" x14ac:dyDescent="0.25">
      <c r="A117" s="3" t="s">
        <v>178</v>
      </c>
      <c r="B117">
        <v>0.45800000000000002</v>
      </c>
      <c r="C117">
        <v>6.2</v>
      </c>
      <c r="D117">
        <v>15254</v>
      </c>
    </row>
    <row r="118" spans="1:4" x14ac:dyDescent="0.25">
      <c r="A118" s="3" t="s">
        <v>53</v>
      </c>
      <c r="B118">
        <v>0.81100000000000005</v>
      </c>
      <c r="C118">
        <v>12.4</v>
      </c>
      <c r="D118">
        <v>132108</v>
      </c>
    </row>
    <row r="119" spans="1:4" x14ac:dyDescent="0.25">
      <c r="A119" s="3" t="s">
        <v>11</v>
      </c>
      <c r="B119">
        <v>0.85299999999999998</v>
      </c>
      <c r="C119">
        <v>14.1</v>
      </c>
      <c r="D119">
        <v>143908</v>
      </c>
    </row>
    <row r="120" spans="1:4" x14ac:dyDescent="0.25">
      <c r="A120" s="3" t="s">
        <v>166</v>
      </c>
      <c r="B120">
        <v>0.52</v>
      </c>
      <c r="C120">
        <v>7.4</v>
      </c>
      <c r="D120">
        <v>24534</v>
      </c>
    </row>
    <row r="121" spans="1:4" x14ac:dyDescent="0.25">
      <c r="A121" s="3" t="s">
        <v>144</v>
      </c>
      <c r="B121">
        <v>0.60399999999999998</v>
      </c>
      <c r="C121">
        <v>9.3000000000000007</v>
      </c>
      <c r="D121">
        <v>36754</v>
      </c>
    </row>
    <row r="122" spans="1:4" x14ac:dyDescent="0.25">
      <c r="A122" s="3" t="s">
        <v>38</v>
      </c>
      <c r="B122">
        <v>0.85</v>
      </c>
      <c r="C122">
        <v>14</v>
      </c>
      <c r="D122">
        <v>131838</v>
      </c>
    </row>
    <row r="123" spans="1:4" x14ac:dyDescent="0.25">
      <c r="A123" s="3" t="s">
        <v>172</v>
      </c>
      <c r="B123">
        <v>0.502</v>
      </c>
      <c r="C123">
        <v>7.9</v>
      </c>
      <c r="D123">
        <v>19782</v>
      </c>
    </row>
    <row r="124" spans="1:4" x14ac:dyDescent="0.25">
      <c r="A124" s="3" t="s">
        <v>123</v>
      </c>
      <c r="B124">
        <v>0.64500000000000002</v>
      </c>
      <c r="C124">
        <v>8.9</v>
      </c>
      <c r="D124">
        <v>47078</v>
      </c>
    </row>
    <row r="125" spans="1:4" x14ac:dyDescent="0.25">
      <c r="A125" s="3" t="s">
        <v>150</v>
      </c>
      <c r="B125">
        <v>0.60199999999999998</v>
      </c>
      <c r="C125">
        <v>8.8000000000000007</v>
      </c>
      <c r="D125">
        <v>34867</v>
      </c>
    </row>
    <row r="126" spans="1:4" x14ac:dyDescent="0.25">
      <c r="A126" s="3" t="s">
        <v>122</v>
      </c>
      <c r="B126">
        <v>0.67600000000000005</v>
      </c>
      <c r="C126">
        <v>10.199999999999999</v>
      </c>
      <c r="D126">
        <v>47265</v>
      </c>
    </row>
    <row r="127" spans="1:4" x14ac:dyDescent="0.25">
      <c r="A127" s="3" t="s">
        <v>83</v>
      </c>
      <c r="B127">
        <v>0.745</v>
      </c>
      <c r="C127">
        <v>10.5</v>
      </c>
      <c r="D127">
        <v>81115</v>
      </c>
    </row>
    <row r="128" spans="1:4" x14ac:dyDescent="0.25">
      <c r="A128" s="3" t="s">
        <v>127</v>
      </c>
      <c r="B128">
        <v>0.65500000000000003</v>
      </c>
      <c r="C128">
        <v>10.3</v>
      </c>
      <c r="D128">
        <v>44785</v>
      </c>
    </row>
    <row r="129" spans="1:4" x14ac:dyDescent="0.25">
      <c r="A129" s="3" t="s">
        <v>182</v>
      </c>
      <c r="B129">
        <v>0.45200000000000001</v>
      </c>
      <c r="C129">
        <v>5.8</v>
      </c>
      <c r="D129">
        <v>13379</v>
      </c>
    </row>
    <row r="130" spans="1:4" x14ac:dyDescent="0.25">
      <c r="A130" s="3" t="s">
        <v>34</v>
      </c>
      <c r="B130">
        <v>0.86099999999999999</v>
      </c>
      <c r="C130">
        <v>12.9</v>
      </c>
      <c r="D130">
        <v>138940</v>
      </c>
    </row>
    <row r="131" spans="1:4" x14ac:dyDescent="0.25">
      <c r="A131" s="3" t="s">
        <v>21</v>
      </c>
      <c r="B131">
        <v>0.85899999999999999</v>
      </c>
      <c r="C131">
        <v>13.3</v>
      </c>
      <c r="D131">
        <v>133291</v>
      </c>
    </row>
    <row r="132" spans="1:4" x14ac:dyDescent="0.25">
      <c r="A132" s="3" t="s">
        <v>23</v>
      </c>
      <c r="B132">
        <v>0.81699999999999995</v>
      </c>
      <c r="C132">
        <v>13.4</v>
      </c>
      <c r="D132">
        <v>131838</v>
      </c>
    </row>
    <row r="133" spans="1:4" x14ac:dyDescent="0.25">
      <c r="A133" s="3" t="s">
        <v>114</v>
      </c>
      <c r="B133">
        <v>0.67600000000000005</v>
      </c>
      <c r="C133">
        <v>10.6</v>
      </c>
      <c r="D133">
        <v>53075</v>
      </c>
    </row>
    <row r="134" spans="1:4" x14ac:dyDescent="0.25">
      <c r="A134" s="3" t="s">
        <v>17</v>
      </c>
      <c r="B134">
        <v>0.84299999999999997</v>
      </c>
      <c r="C134">
        <v>12.5</v>
      </c>
      <c r="D134">
        <v>139360</v>
      </c>
    </row>
    <row r="135" spans="1:4" x14ac:dyDescent="0.25">
      <c r="A135" s="3" t="s">
        <v>193</v>
      </c>
      <c r="B135">
        <v>0.79300000000000004</v>
      </c>
      <c r="C135">
        <v>12.3</v>
      </c>
      <c r="D135">
        <v>119427</v>
      </c>
    </row>
    <row r="136" spans="1:4" x14ac:dyDescent="0.25">
      <c r="A136" s="3" t="s">
        <v>115</v>
      </c>
      <c r="B136">
        <v>0.64600000000000002</v>
      </c>
      <c r="C136">
        <v>9.6</v>
      </c>
      <c r="D136">
        <v>50902</v>
      </c>
    </row>
    <row r="137" spans="1:4" x14ac:dyDescent="0.25">
      <c r="A137" s="3" t="s">
        <v>109</v>
      </c>
      <c r="B137">
        <v>0.66300000000000003</v>
      </c>
      <c r="C137">
        <v>10</v>
      </c>
      <c r="D137">
        <v>55411</v>
      </c>
    </row>
    <row r="138" spans="1:4" x14ac:dyDescent="0.25">
      <c r="A138" s="3" t="s">
        <v>73</v>
      </c>
      <c r="B138">
        <v>0.77500000000000002</v>
      </c>
      <c r="C138">
        <v>11.7</v>
      </c>
      <c r="D138">
        <v>90739</v>
      </c>
    </row>
    <row r="139" spans="1:4" x14ac:dyDescent="0.25">
      <c r="A139" s="3" t="s">
        <v>19</v>
      </c>
      <c r="B139">
        <v>0.81399999999999995</v>
      </c>
      <c r="C139">
        <v>13.5</v>
      </c>
      <c r="D139">
        <v>136649</v>
      </c>
    </row>
    <row r="140" spans="1:4" x14ac:dyDescent="0.25">
      <c r="A140" s="3" t="s">
        <v>141</v>
      </c>
      <c r="B140">
        <v>0.59299999999999997</v>
      </c>
      <c r="C140">
        <v>8.3000000000000007</v>
      </c>
      <c r="D140">
        <v>38555</v>
      </c>
    </row>
    <row r="141" spans="1:4" x14ac:dyDescent="0.25">
      <c r="A141" s="3" t="s">
        <v>31</v>
      </c>
      <c r="B141">
        <v>0.82</v>
      </c>
      <c r="C141">
        <v>13.6</v>
      </c>
      <c r="D141">
        <v>142759</v>
      </c>
    </row>
    <row r="142" spans="1:4" x14ac:dyDescent="0.25">
      <c r="A142" s="3" t="s">
        <v>171</v>
      </c>
      <c r="B142">
        <v>0.48599999999999999</v>
      </c>
      <c r="C142">
        <v>7.4</v>
      </c>
      <c r="D142">
        <v>20848</v>
      </c>
    </row>
    <row r="143" spans="1:4" x14ac:dyDescent="0.25">
      <c r="A143" s="3" t="s">
        <v>160</v>
      </c>
      <c r="B143">
        <v>0.56299999999999994</v>
      </c>
      <c r="C143">
        <v>7.2</v>
      </c>
      <c r="D143">
        <v>28149</v>
      </c>
    </row>
    <row r="144" spans="1:4" x14ac:dyDescent="0.25">
      <c r="A144" s="3" t="s">
        <v>54</v>
      </c>
      <c r="B144">
        <v>0.81399999999999995</v>
      </c>
      <c r="C144">
        <v>12</v>
      </c>
      <c r="D144">
        <v>131838</v>
      </c>
    </row>
    <row r="145" spans="1:4" x14ac:dyDescent="0.25">
      <c r="A145" s="3" t="s">
        <v>107</v>
      </c>
      <c r="B145">
        <v>0.67100000000000004</v>
      </c>
      <c r="C145">
        <v>9.5</v>
      </c>
      <c r="D145">
        <v>59655</v>
      </c>
    </row>
    <row r="146" spans="1:4" x14ac:dyDescent="0.25">
      <c r="A146" s="3" t="s">
        <v>158</v>
      </c>
      <c r="B146">
        <v>0.57099999999999995</v>
      </c>
      <c r="C146">
        <v>8.4</v>
      </c>
      <c r="D146">
        <v>29665</v>
      </c>
    </row>
    <row r="147" spans="1:4" x14ac:dyDescent="0.25">
      <c r="A147" s="3" t="s">
        <v>113</v>
      </c>
      <c r="B147">
        <v>0.65800000000000003</v>
      </c>
      <c r="C147">
        <v>10.199999999999999</v>
      </c>
      <c r="D147">
        <v>53309</v>
      </c>
    </row>
    <row r="148" spans="1:4" x14ac:dyDescent="0.25">
      <c r="A148" s="3" t="s">
        <v>139</v>
      </c>
      <c r="B148">
        <v>0.59</v>
      </c>
      <c r="C148">
        <v>8.9</v>
      </c>
      <c r="D148">
        <v>40223</v>
      </c>
    </row>
    <row r="149" spans="1:4" x14ac:dyDescent="0.25">
      <c r="A149" s="3" t="s">
        <v>126</v>
      </c>
      <c r="B149">
        <v>0.63</v>
      </c>
      <c r="C149">
        <v>9.6999999999999993</v>
      </c>
      <c r="D149">
        <v>46287</v>
      </c>
    </row>
    <row r="150" spans="1:4" x14ac:dyDescent="0.25">
      <c r="A150" s="3" t="s">
        <v>145</v>
      </c>
      <c r="B150">
        <v>0.59</v>
      </c>
      <c r="C150">
        <v>8.1999999999999993</v>
      </c>
      <c r="D150">
        <v>36635</v>
      </c>
    </row>
    <row r="151" spans="1:4" x14ac:dyDescent="0.25">
      <c r="A151" s="3" t="s">
        <v>181</v>
      </c>
      <c r="B151">
        <v>0.46400000000000002</v>
      </c>
      <c r="C151">
        <v>8.4</v>
      </c>
      <c r="D151">
        <v>13903</v>
      </c>
    </row>
    <row r="152" spans="1:4" x14ac:dyDescent="0.25">
      <c r="A152" s="3" t="s">
        <v>89</v>
      </c>
      <c r="B152">
        <v>0.71299999999999997</v>
      </c>
      <c r="C152">
        <v>10.199999999999999</v>
      </c>
      <c r="D152">
        <v>70603</v>
      </c>
    </row>
    <row r="153" spans="1:4" x14ac:dyDescent="0.25">
      <c r="A153" s="3" t="s">
        <v>93</v>
      </c>
      <c r="B153">
        <v>0.72599999999999998</v>
      </c>
      <c r="C153">
        <v>11.2</v>
      </c>
      <c r="D153">
        <v>67893</v>
      </c>
    </row>
    <row r="154" spans="1:4" x14ac:dyDescent="0.25">
      <c r="A154" s="3" t="s">
        <v>56</v>
      </c>
      <c r="B154">
        <v>0.8</v>
      </c>
      <c r="C154">
        <v>12.4</v>
      </c>
      <c r="D154">
        <v>125516</v>
      </c>
    </row>
    <row r="155" spans="1:4" x14ac:dyDescent="0.25">
      <c r="A155" s="3" t="s">
        <v>87</v>
      </c>
      <c r="B155">
        <v>0.72799999999999998</v>
      </c>
      <c r="C155">
        <v>10.7</v>
      </c>
      <c r="D155">
        <v>72820</v>
      </c>
    </row>
    <row r="156" spans="1:4" x14ac:dyDescent="0.25">
      <c r="A156" s="3" t="s">
        <v>96</v>
      </c>
      <c r="B156">
        <v>0.68700000000000006</v>
      </c>
      <c r="C156">
        <v>10.5</v>
      </c>
      <c r="D156">
        <v>66502</v>
      </c>
    </row>
    <row r="157" spans="1:4" x14ac:dyDescent="0.25">
      <c r="A157" s="3" t="s">
        <v>60</v>
      </c>
      <c r="B157">
        <v>0.79</v>
      </c>
      <c r="C157">
        <v>11.4</v>
      </c>
      <c r="D157">
        <v>115175</v>
      </c>
    </row>
    <row r="158" spans="1:4" x14ac:dyDescent="0.25">
      <c r="A158" s="3" t="s">
        <v>162</v>
      </c>
      <c r="B158">
        <v>0.59199999999999997</v>
      </c>
      <c r="C158">
        <v>8.5</v>
      </c>
      <c r="D158">
        <v>26761</v>
      </c>
    </row>
    <row r="159" spans="1:4" x14ac:dyDescent="0.25">
      <c r="A159" s="3" t="s">
        <v>140</v>
      </c>
      <c r="B159">
        <v>0.61899999999999999</v>
      </c>
      <c r="C159">
        <v>9.6999999999999993</v>
      </c>
      <c r="D159">
        <v>40162</v>
      </c>
    </row>
    <row r="160" spans="1:4" x14ac:dyDescent="0.25">
      <c r="A160" s="3" t="s">
        <v>161</v>
      </c>
      <c r="B160">
        <v>0.54</v>
      </c>
      <c r="C160">
        <v>8.8000000000000007</v>
      </c>
      <c r="D160">
        <v>27161</v>
      </c>
    </row>
    <row r="161" spans="1:4" x14ac:dyDescent="0.25">
      <c r="A161" s="3" t="s">
        <v>79</v>
      </c>
      <c r="B161">
        <v>0.74299999999999999</v>
      </c>
      <c r="C161">
        <v>11.4</v>
      </c>
      <c r="D161">
        <v>84403</v>
      </c>
    </row>
    <row r="162" spans="1:4" x14ac:dyDescent="0.25">
      <c r="A162" s="3" t="s">
        <v>120</v>
      </c>
      <c r="B162">
        <v>0.63500000000000001</v>
      </c>
      <c r="C162">
        <v>9.5</v>
      </c>
      <c r="D162">
        <v>47829</v>
      </c>
    </row>
    <row r="163" spans="1:4" x14ac:dyDescent="0.25">
      <c r="A163" s="3" t="s">
        <v>137</v>
      </c>
      <c r="B163">
        <v>0.61</v>
      </c>
      <c r="C163">
        <v>8.1999999999999993</v>
      </c>
      <c r="D163">
        <v>41585</v>
      </c>
    </row>
    <row r="164" spans="1:4" x14ac:dyDescent="0.25">
      <c r="A164" s="3" t="s">
        <v>156</v>
      </c>
      <c r="B164">
        <v>0.56799999999999995</v>
      </c>
      <c r="C164">
        <v>9</v>
      </c>
      <c r="D164">
        <v>32223</v>
      </c>
    </row>
    <row r="165" spans="1:4" x14ac:dyDescent="0.25">
      <c r="A165" s="3" t="s">
        <v>55</v>
      </c>
      <c r="B165">
        <v>0.80100000000000005</v>
      </c>
      <c r="C165">
        <v>12.2</v>
      </c>
      <c r="D165">
        <v>126087</v>
      </c>
    </row>
    <row r="166" spans="1:4" x14ac:dyDescent="0.25">
      <c r="A166" s="3" t="s">
        <v>80</v>
      </c>
      <c r="B166">
        <v>0.72299999999999998</v>
      </c>
      <c r="C166">
        <v>10.6</v>
      </c>
      <c r="D166">
        <v>83017</v>
      </c>
    </row>
    <row r="167" spans="1:4" x14ac:dyDescent="0.25">
      <c r="A167" s="3" t="s">
        <v>104</v>
      </c>
      <c r="B167">
        <v>0.69499999999999995</v>
      </c>
      <c r="C167">
        <v>9.8000000000000007</v>
      </c>
      <c r="D167">
        <v>61987</v>
      </c>
    </row>
    <row r="168" spans="1:4" x14ac:dyDescent="0.25">
      <c r="A168" s="3" t="s">
        <v>177</v>
      </c>
      <c r="B168">
        <v>0.45500000000000002</v>
      </c>
      <c r="C168">
        <v>7.6</v>
      </c>
      <c r="D168">
        <v>16309</v>
      </c>
    </row>
    <row r="169" spans="1:4" x14ac:dyDescent="0.25">
      <c r="A169" s="3" t="s">
        <v>194</v>
      </c>
      <c r="B169">
        <v>0.78600000000000003</v>
      </c>
      <c r="C169">
        <v>11.5</v>
      </c>
      <c r="D169">
        <v>112682</v>
      </c>
    </row>
    <row r="170" spans="1:4" x14ac:dyDescent="0.25">
      <c r="A170" s="3" t="s">
        <v>138</v>
      </c>
      <c r="B170">
        <v>0.627</v>
      </c>
      <c r="C170">
        <v>9.4</v>
      </c>
      <c r="D170">
        <v>41350</v>
      </c>
    </row>
    <row r="171" spans="1:4" x14ac:dyDescent="0.25">
      <c r="A171" s="3" t="s">
        <v>16</v>
      </c>
      <c r="B171">
        <v>0.82299999999999995</v>
      </c>
      <c r="C171">
        <v>13.8</v>
      </c>
      <c r="D171">
        <v>142252</v>
      </c>
    </row>
    <row r="172" spans="1:4" x14ac:dyDescent="0.25">
      <c r="A172" s="3" t="s">
        <v>99</v>
      </c>
      <c r="B172">
        <v>0.69899999999999995</v>
      </c>
      <c r="C172">
        <v>11.1</v>
      </c>
      <c r="D172">
        <v>65873</v>
      </c>
    </row>
    <row r="173" spans="1:4" x14ac:dyDescent="0.25">
      <c r="A173" s="3" t="s">
        <v>29</v>
      </c>
      <c r="B173">
        <v>0.82299999999999995</v>
      </c>
      <c r="C173">
        <v>13.6</v>
      </c>
      <c r="D173">
        <v>146546</v>
      </c>
    </row>
    <row r="174" spans="1:4" x14ac:dyDescent="0.25">
      <c r="A174" s="3" t="s">
        <v>153</v>
      </c>
      <c r="B174">
        <v>0.59199999999999997</v>
      </c>
      <c r="C174">
        <v>9.1</v>
      </c>
      <c r="D174">
        <v>32898</v>
      </c>
    </row>
    <row r="175" spans="1:4" x14ac:dyDescent="0.25">
      <c r="A175" s="3" t="s">
        <v>132</v>
      </c>
      <c r="B175">
        <v>0.65600000000000003</v>
      </c>
      <c r="C175">
        <v>9.6999999999999993</v>
      </c>
      <c r="D175">
        <v>43471</v>
      </c>
    </row>
    <row r="176" spans="1:4" x14ac:dyDescent="0.25">
      <c r="A176" s="3" t="s">
        <v>176</v>
      </c>
      <c r="B176">
        <v>0.47599999999999998</v>
      </c>
      <c r="C176">
        <v>8</v>
      </c>
      <c r="D176">
        <v>17532</v>
      </c>
    </row>
    <row r="177" spans="1:4" x14ac:dyDescent="0.25">
      <c r="A177" s="3" t="s">
        <v>125</v>
      </c>
      <c r="B177">
        <v>0.61799999999999999</v>
      </c>
      <c r="C177">
        <v>9.1999999999999993</v>
      </c>
      <c r="D177">
        <v>46326</v>
      </c>
    </row>
    <row r="178" spans="1:4" x14ac:dyDescent="0.25">
      <c r="A178" s="3" t="s">
        <v>58</v>
      </c>
      <c r="B178">
        <v>0.8</v>
      </c>
      <c r="C178">
        <v>11.4</v>
      </c>
      <c r="D178">
        <v>119181</v>
      </c>
    </row>
    <row r="179" spans="1:4" x14ac:dyDescent="0.25">
      <c r="A179" s="3" t="s">
        <v>157</v>
      </c>
      <c r="B179">
        <v>0.59199999999999997</v>
      </c>
      <c r="C179">
        <v>8.5</v>
      </c>
      <c r="D179">
        <v>29940</v>
      </c>
    </row>
    <row r="180" spans="1:4" x14ac:dyDescent="0.25">
      <c r="A180" s="3" t="s">
        <v>179</v>
      </c>
      <c r="B180">
        <v>0.5</v>
      </c>
      <c r="C180">
        <v>6.7</v>
      </c>
      <c r="D180">
        <v>14580</v>
      </c>
    </row>
    <row r="181" spans="1:4" x14ac:dyDescent="0.25">
      <c r="A181" s="3" t="s">
        <v>148</v>
      </c>
      <c r="B181">
        <v>0.60499999999999998</v>
      </c>
      <c r="C181">
        <v>9.6999999999999993</v>
      </c>
      <c r="D181">
        <v>34970</v>
      </c>
    </row>
    <row r="182" spans="1:4" x14ac:dyDescent="0.25">
      <c r="A182" s="3" t="s">
        <v>76</v>
      </c>
      <c r="B182">
        <v>0.747</v>
      </c>
      <c r="C182">
        <v>11.8</v>
      </c>
      <c r="D182">
        <v>86805</v>
      </c>
    </row>
    <row r="183" spans="1:4" x14ac:dyDescent="0.25">
      <c r="A183" s="3" t="s">
        <v>119</v>
      </c>
      <c r="B183">
        <v>0.624</v>
      </c>
      <c r="C183">
        <v>9.9</v>
      </c>
      <c r="D183">
        <v>49172</v>
      </c>
    </row>
    <row r="184" spans="1:4" x14ac:dyDescent="0.25">
      <c r="A184" s="3" t="s">
        <v>129</v>
      </c>
      <c r="B184">
        <v>0.64600000000000002</v>
      </c>
      <c r="C184">
        <v>9.4</v>
      </c>
      <c r="D184">
        <v>44581</v>
      </c>
    </row>
    <row r="185" spans="1:4" x14ac:dyDescent="0.25">
      <c r="A185" s="3" t="s">
        <v>82</v>
      </c>
      <c r="B185">
        <v>0.72899999999999998</v>
      </c>
      <c r="C185">
        <v>9.8000000000000007</v>
      </c>
      <c r="D185">
        <v>81546</v>
      </c>
    </row>
    <row r="186" spans="1:4" x14ac:dyDescent="0.25">
      <c r="A186" s="3" t="s">
        <v>163</v>
      </c>
      <c r="B186">
        <v>0.57899999999999996</v>
      </c>
      <c r="C186">
        <v>8.6999999999999993</v>
      </c>
      <c r="D186">
        <v>26681</v>
      </c>
    </row>
    <row r="187" spans="1:4" x14ac:dyDescent="0.25">
      <c r="A187" s="3" t="s">
        <v>195</v>
      </c>
      <c r="B187">
        <v>0.63300000000000001</v>
      </c>
      <c r="C187">
        <v>8.8000000000000007</v>
      </c>
      <c r="D187">
        <v>42552</v>
      </c>
    </row>
    <row r="188" spans="1:4" x14ac:dyDescent="0.25">
      <c r="A188" s="3" t="s">
        <v>152</v>
      </c>
      <c r="B188">
        <v>0.61299999999999999</v>
      </c>
      <c r="C188">
        <v>8.5</v>
      </c>
      <c r="D188">
        <v>33228</v>
      </c>
    </row>
    <row r="189" spans="1:4" x14ac:dyDescent="0.25">
      <c r="A189" s="3" t="s">
        <v>192</v>
      </c>
      <c r="B189">
        <v>0.82399999999999995</v>
      </c>
      <c r="C189">
        <v>12.5</v>
      </c>
      <c r="D189">
        <v>143908</v>
      </c>
    </row>
    <row r="190" spans="1:4" x14ac:dyDescent="0.25">
      <c r="A190" s="3" t="s">
        <v>197</v>
      </c>
      <c r="B190">
        <v>0.51100000000000001</v>
      </c>
      <c r="C190">
        <v>6.9</v>
      </c>
      <c r="D190">
        <v>22119</v>
      </c>
    </row>
    <row r="191" spans="1:4" x14ac:dyDescent="0.25">
      <c r="A191" s="3" t="s">
        <v>65</v>
      </c>
      <c r="B191">
        <v>0.79200000000000004</v>
      </c>
      <c r="C191">
        <v>11.8</v>
      </c>
      <c r="D191">
        <v>109309</v>
      </c>
    </row>
    <row r="192" spans="1:4" x14ac:dyDescent="0.25">
      <c r="A192" s="3" t="s">
        <v>103</v>
      </c>
      <c r="B192">
        <v>0.67200000000000004</v>
      </c>
      <c r="C192">
        <v>9.5</v>
      </c>
      <c r="D192">
        <v>62289</v>
      </c>
    </row>
    <row r="193" spans="1:4" x14ac:dyDescent="0.25">
      <c r="A193" s="3" t="s">
        <v>84</v>
      </c>
      <c r="B193">
        <v>0.70799999999999996</v>
      </c>
      <c r="C193">
        <v>10.6</v>
      </c>
      <c r="D193">
        <v>77274</v>
      </c>
    </row>
    <row r="194" spans="1:4" x14ac:dyDescent="0.25">
      <c r="A194" s="3" t="s">
        <v>175</v>
      </c>
      <c r="B194">
        <v>0.42899999999999999</v>
      </c>
      <c r="C194">
        <v>6.6</v>
      </c>
      <c r="D194">
        <v>17759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A5F1-5B63-4884-BACE-D942F4D10E65}">
  <dimension ref="A1:B194"/>
  <sheetViews>
    <sheetView workbookViewId="0">
      <selection activeCell="B23" sqref="B23"/>
    </sheetView>
  </sheetViews>
  <sheetFormatPr defaultRowHeight="15" x14ac:dyDescent="0.25"/>
  <cols>
    <col min="1" max="1" width="28.28515625" style="6" customWidth="1"/>
    <col min="2" max="2" width="14" style="6" bestFit="1" customWidth="1"/>
  </cols>
  <sheetData>
    <row r="1" spans="1:2" x14ac:dyDescent="0.25">
      <c r="A1" s="5" t="s">
        <v>1</v>
      </c>
      <c r="B1" s="5" t="s">
        <v>0</v>
      </c>
    </row>
    <row r="2" spans="1:2" x14ac:dyDescent="0.25">
      <c r="A2" s="6" t="s">
        <v>85</v>
      </c>
      <c r="B2" s="6" t="s">
        <v>12</v>
      </c>
    </row>
    <row r="3" spans="1:2" x14ac:dyDescent="0.25">
      <c r="A3" s="6" t="s">
        <v>202</v>
      </c>
      <c r="B3" s="6" t="s">
        <v>6</v>
      </c>
    </row>
    <row r="4" spans="1:2" x14ac:dyDescent="0.25">
      <c r="A4" s="6" t="s">
        <v>63</v>
      </c>
      <c r="B4" s="6" t="s">
        <v>15</v>
      </c>
    </row>
    <row r="5" spans="1:2" x14ac:dyDescent="0.25">
      <c r="A5" s="6" t="s">
        <v>35</v>
      </c>
      <c r="B5" s="6" t="s">
        <v>12</v>
      </c>
    </row>
    <row r="6" spans="1:2" x14ac:dyDescent="0.25">
      <c r="A6" s="6" t="s">
        <v>97</v>
      </c>
      <c r="B6" s="6" t="s">
        <v>15</v>
      </c>
    </row>
    <row r="7" spans="1:2" x14ac:dyDescent="0.25">
      <c r="A7" s="6" t="s">
        <v>14</v>
      </c>
      <c r="B7" s="6" t="s">
        <v>10</v>
      </c>
    </row>
    <row r="8" spans="1:2" x14ac:dyDescent="0.25">
      <c r="A8" s="6" t="s">
        <v>130</v>
      </c>
      <c r="B8" s="6" t="s">
        <v>12</v>
      </c>
    </row>
    <row r="9" spans="1:2" x14ac:dyDescent="0.25">
      <c r="A9" s="6" t="s">
        <v>146</v>
      </c>
      <c r="B9" s="6" t="s">
        <v>15</v>
      </c>
    </row>
    <row r="10" spans="1:2" x14ac:dyDescent="0.25">
      <c r="A10" s="6" t="s">
        <v>121</v>
      </c>
      <c r="B10" s="6" t="s">
        <v>6</v>
      </c>
    </row>
    <row r="11" spans="1:2" x14ac:dyDescent="0.25">
      <c r="A11" s="6" t="s">
        <v>39</v>
      </c>
      <c r="B11" s="6" t="s">
        <v>15</v>
      </c>
    </row>
    <row r="12" spans="1:2" x14ac:dyDescent="0.25">
      <c r="A12" s="6" t="s">
        <v>155</v>
      </c>
      <c r="B12" s="6" t="s">
        <v>12</v>
      </c>
    </row>
    <row r="13" spans="1:2" x14ac:dyDescent="0.25">
      <c r="A13" s="6" t="s">
        <v>112</v>
      </c>
      <c r="B13" s="6" t="s">
        <v>8</v>
      </c>
    </row>
    <row r="14" spans="1:2" x14ac:dyDescent="0.25">
      <c r="A14" s="6" t="s">
        <v>52</v>
      </c>
      <c r="B14" s="6" t="s">
        <v>12</v>
      </c>
    </row>
    <row r="15" spans="1:2" x14ac:dyDescent="0.25">
      <c r="A15" s="6" t="s">
        <v>24</v>
      </c>
      <c r="B15" s="6" t="s">
        <v>12</v>
      </c>
    </row>
    <row r="16" spans="1:2" x14ac:dyDescent="0.25">
      <c r="A16" s="6" t="s">
        <v>42</v>
      </c>
      <c r="B16" s="6" t="s">
        <v>15</v>
      </c>
    </row>
    <row r="17" spans="1:2" x14ac:dyDescent="0.25">
      <c r="A17" s="6" t="s">
        <v>187</v>
      </c>
      <c r="B17" s="6" t="s">
        <v>5</v>
      </c>
    </row>
    <row r="18" spans="1:2" x14ac:dyDescent="0.25">
      <c r="A18" s="6" t="s">
        <v>98</v>
      </c>
      <c r="B18" s="6" t="s">
        <v>12</v>
      </c>
    </row>
    <row r="19" spans="1:2" x14ac:dyDescent="0.25">
      <c r="A19" s="6" t="s">
        <v>159</v>
      </c>
      <c r="B19" s="6" t="s">
        <v>10</v>
      </c>
    </row>
    <row r="20" spans="1:2" x14ac:dyDescent="0.25">
      <c r="A20" s="6" t="s">
        <v>106</v>
      </c>
      <c r="B20" s="6" t="s">
        <v>12</v>
      </c>
    </row>
    <row r="21" spans="1:2" x14ac:dyDescent="0.25">
      <c r="A21" s="6" t="s">
        <v>45</v>
      </c>
      <c r="B21" s="6" t="s">
        <v>10</v>
      </c>
    </row>
    <row r="22" spans="1:2" x14ac:dyDescent="0.25">
      <c r="A22" s="6" t="s">
        <v>189</v>
      </c>
      <c r="B22" s="6" t="s">
        <v>10</v>
      </c>
    </row>
    <row r="23" spans="1:2" x14ac:dyDescent="0.25">
      <c r="A23" s="6" t="s">
        <v>198</v>
      </c>
      <c r="B23" s="6" t="s">
        <v>8</v>
      </c>
    </row>
    <row r="24" spans="1:2" x14ac:dyDescent="0.25">
      <c r="A24" s="6" t="s">
        <v>108</v>
      </c>
      <c r="B24" s="6" t="s">
        <v>15</v>
      </c>
    </row>
    <row r="25" spans="1:2" x14ac:dyDescent="0.25">
      <c r="A25" s="6" t="s">
        <v>71</v>
      </c>
      <c r="B25" s="6" t="s">
        <v>12</v>
      </c>
    </row>
    <row r="26" spans="1:2" x14ac:dyDescent="0.25">
      <c r="A26" s="6" t="s">
        <v>7</v>
      </c>
      <c r="B26" s="6" t="s">
        <v>6</v>
      </c>
    </row>
    <row r="27" spans="1:2" x14ac:dyDescent="0.25">
      <c r="A27" s="6" t="s">
        <v>203</v>
      </c>
      <c r="B27" s="6" t="s">
        <v>12</v>
      </c>
    </row>
    <row r="28" spans="1:2" x14ac:dyDescent="0.25">
      <c r="A28" s="6" t="s">
        <v>117</v>
      </c>
      <c r="B28" s="6" t="s">
        <v>8</v>
      </c>
    </row>
    <row r="29" spans="1:2" x14ac:dyDescent="0.25">
      <c r="A29" s="6" t="s">
        <v>30</v>
      </c>
      <c r="B29" s="6" t="s">
        <v>12</v>
      </c>
    </row>
    <row r="30" spans="1:2" x14ac:dyDescent="0.25">
      <c r="A30" s="6" t="s">
        <v>86</v>
      </c>
      <c r="B30" s="6" t="s">
        <v>12</v>
      </c>
    </row>
    <row r="31" spans="1:2" x14ac:dyDescent="0.25">
      <c r="A31" s="6" t="s">
        <v>131</v>
      </c>
      <c r="B31" s="6" t="s">
        <v>10</v>
      </c>
    </row>
    <row r="32" spans="1:2" x14ac:dyDescent="0.25">
      <c r="A32" s="6" t="s">
        <v>51</v>
      </c>
      <c r="B32" s="6" t="s">
        <v>10</v>
      </c>
    </row>
    <row r="33" spans="1:2" x14ac:dyDescent="0.25">
      <c r="A33" s="6" t="s">
        <v>95</v>
      </c>
      <c r="B33" s="6" t="s">
        <v>6</v>
      </c>
    </row>
    <row r="34" spans="1:2" x14ac:dyDescent="0.25">
      <c r="A34" s="6" t="s">
        <v>180</v>
      </c>
      <c r="B34" s="6" t="s">
        <v>8</v>
      </c>
    </row>
    <row r="35" spans="1:2" x14ac:dyDescent="0.25">
      <c r="A35" s="6" t="s">
        <v>74</v>
      </c>
      <c r="B35" s="6" t="s">
        <v>12</v>
      </c>
    </row>
    <row r="36" spans="1:2" x14ac:dyDescent="0.25">
      <c r="A36" s="6" t="s">
        <v>9</v>
      </c>
      <c r="B36" s="6" t="s">
        <v>8</v>
      </c>
    </row>
    <row r="37" spans="1:2" x14ac:dyDescent="0.25">
      <c r="A37" s="6" t="s">
        <v>110</v>
      </c>
      <c r="B37" s="6" t="s">
        <v>8</v>
      </c>
    </row>
    <row r="38" spans="1:2" x14ac:dyDescent="0.25">
      <c r="A38" s="6" t="s">
        <v>70</v>
      </c>
      <c r="B38" s="6" t="s">
        <v>10</v>
      </c>
    </row>
    <row r="39" spans="1:2" x14ac:dyDescent="0.25">
      <c r="A39" s="6" t="s">
        <v>149</v>
      </c>
      <c r="B39" s="6" t="s">
        <v>6</v>
      </c>
    </row>
    <row r="40" spans="1:2" x14ac:dyDescent="0.25">
      <c r="A40" s="6" t="s">
        <v>25</v>
      </c>
      <c r="B40" s="6" t="s">
        <v>8</v>
      </c>
    </row>
    <row r="41" spans="1:2" x14ac:dyDescent="0.25">
      <c r="A41" s="6" t="s">
        <v>92</v>
      </c>
      <c r="B41" s="6" t="s">
        <v>5</v>
      </c>
    </row>
    <row r="42" spans="1:2" x14ac:dyDescent="0.25">
      <c r="A42" s="6" t="s">
        <v>200</v>
      </c>
      <c r="B42" s="6" t="s">
        <v>12</v>
      </c>
    </row>
    <row r="43" spans="1:2" x14ac:dyDescent="0.25">
      <c r="A43" s="6" t="s">
        <v>154</v>
      </c>
      <c r="B43" s="6" t="s">
        <v>12</v>
      </c>
    </row>
    <row r="44" spans="1:2" x14ac:dyDescent="0.25">
      <c r="A44" s="6" t="s">
        <v>22</v>
      </c>
      <c r="B44" s="6" t="s">
        <v>12</v>
      </c>
    </row>
    <row r="45" spans="1:2" x14ac:dyDescent="0.25">
      <c r="A45" s="6" t="s">
        <v>105</v>
      </c>
      <c r="B45" s="6" t="s">
        <v>15</v>
      </c>
    </row>
    <row r="46" spans="1:2" x14ac:dyDescent="0.25">
      <c r="A46" s="6" t="s">
        <v>49</v>
      </c>
      <c r="B46" s="6" t="s">
        <v>6</v>
      </c>
    </row>
    <row r="47" spans="1:2" x14ac:dyDescent="0.25">
      <c r="A47" s="6" t="s">
        <v>37</v>
      </c>
      <c r="B47" s="6" t="s">
        <v>6</v>
      </c>
    </row>
    <row r="48" spans="1:2" x14ac:dyDescent="0.25">
      <c r="A48" s="6" t="s">
        <v>50</v>
      </c>
      <c r="B48" s="6" t="s">
        <v>6</v>
      </c>
    </row>
    <row r="49" spans="1:2" x14ac:dyDescent="0.25">
      <c r="A49" s="6" t="s">
        <v>77</v>
      </c>
      <c r="B49" s="6" t="s">
        <v>12</v>
      </c>
    </row>
    <row r="50" spans="1:2" x14ac:dyDescent="0.25">
      <c r="A50" s="6" t="s">
        <v>174</v>
      </c>
      <c r="B50" s="6" t="s">
        <v>6</v>
      </c>
    </row>
    <row r="51" spans="1:2" x14ac:dyDescent="0.25">
      <c r="A51" s="6" t="s">
        <v>128</v>
      </c>
      <c r="B51" s="6" t="s">
        <v>6</v>
      </c>
    </row>
    <row r="52" spans="1:2" x14ac:dyDescent="0.25">
      <c r="A52" s="6" t="s">
        <v>147</v>
      </c>
      <c r="B52" s="6" t="s">
        <v>15</v>
      </c>
    </row>
    <row r="53" spans="1:2" x14ac:dyDescent="0.25">
      <c r="A53" s="6" t="s">
        <v>57</v>
      </c>
      <c r="B53" s="6" t="s">
        <v>12</v>
      </c>
    </row>
    <row r="54" spans="1:2" x14ac:dyDescent="0.25">
      <c r="A54" s="6" t="s">
        <v>69</v>
      </c>
      <c r="B54" s="6" t="s">
        <v>5</v>
      </c>
    </row>
    <row r="55" spans="1:2" x14ac:dyDescent="0.25">
      <c r="A55" s="6" t="s">
        <v>75</v>
      </c>
      <c r="B55" s="6" t="s">
        <v>5</v>
      </c>
    </row>
    <row r="56" spans="1:2" x14ac:dyDescent="0.25">
      <c r="A56" s="6" t="s">
        <v>44</v>
      </c>
      <c r="B56" s="6" t="s">
        <v>6</v>
      </c>
    </row>
    <row r="57" spans="1:2" x14ac:dyDescent="0.25">
      <c r="A57" s="6" t="s">
        <v>168</v>
      </c>
      <c r="B57" s="6" t="s">
        <v>6</v>
      </c>
    </row>
    <row r="58" spans="1:2" x14ac:dyDescent="0.25">
      <c r="A58" s="6" t="s">
        <v>94</v>
      </c>
      <c r="B58" s="6" t="s">
        <v>10</v>
      </c>
    </row>
    <row r="59" spans="1:2" x14ac:dyDescent="0.25">
      <c r="A59" s="6" t="s">
        <v>186</v>
      </c>
      <c r="B59" s="6" t="s">
        <v>8</v>
      </c>
    </row>
    <row r="60" spans="1:2" x14ac:dyDescent="0.25">
      <c r="A60" s="6" t="s">
        <v>164</v>
      </c>
      <c r="B60" s="6" t="s">
        <v>15</v>
      </c>
    </row>
    <row r="61" spans="1:2" x14ac:dyDescent="0.25">
      <c r="A61" s="6" t="s">
        <v>62</v>
      </c>
      <c r="B61" s="6" t="s">
        <v>8</v>
      </c>
    </row>
    <row r="62" spans="1:2" x14ac:dyDescent="0.25">
      <c r="A62" s="6" t="s">
        <v>136</v>
      </c>
      <c r="B62" s="6" t="s">
        <v>5</v>
      </c>
    </row>
    <row r="63" spans="1:2" x14ac:dyDescent="0.25">
      <c r="A63" s="6" t="s">
        <v>133</v>
      </c>
      <c r="B63" s="6" t="s">
        <v>15</v>
      </c>
    </row>
    <row r="64" spans="1:2" x14ac:dyDescent="0.25">
      <c r="A64" s="6" t="s">
        <v>66</v>
      </c>
      <c r="B64" s="6" t="s">
        <v>5</v>
      </c>
    </row>
    <row r="65" spans="1:2" x14ac:dyDescent="0.25">
      <c r="A65" s="6" t="s">
        <v>142</v>
      </c>
      <c r="B65" s="6" t="s">
        <v>5</v>
      </c>
    </row>
    <row r="66" spans="1:2" x14ac:dyDescent="0.25">
      <c r="A66" s="6" t="s">
        <v>72</v>
      </c>
      <c r="B66" s="6" t="s">
        <v>12</v>
      </c>
    </row>
    <row r="67" spans="1:2" x14ac:dyDescent="0.25">
      <c r="A67" s="6" t="s">
        <v>41</v>
      </c>
      <c r="B67" s="6" t="s">
        <v>12</v>
      </c>
    </row>
    <row r="68" spans="1:2" x14ac:dyDescent="0.25">
      <c r="A68" s="6" t="s">
        <v>88</v>
      </c>
      <c r="B68" s="6" t="s">
        <v>8</v>
      </c>
    </row>
    <row r="69" spans="1:2" x14ac:dyDescent="0.25">
      <c r="A69" s="6" t="s">
        <v>46</v>
      </c>
      <c r="B69" s="6" t="s">
        <v>15</v>
      </c>
    </row>
    <row r="70" spans="1:2" x14ac:dyDescent="0.25">
      <c r="A70" s="6" t="s">
        <v>18</v>
      </c>
      <c r="B70" s="6" t="s">
        <v>10</v>
      </c>
    </row>
    <row r="71" spans="1:2" x14ac:dyDescent="0.25">
      <c r="A71" s="6" t="s">
        <v>102</v>
      </c>
      <c r="B71" s="6" t="s">
        <v>5</v>
      </c>
    </row>
    <row r="72" spans="1:2" x14ac:dyDescent="0.25">
      <c r="A72" s="6" t="s">
        <v>111</v>
      </c>
      <c r="B72" s="6" t="s">
        <v>8</v>
      </c>
    </row>
    <row r="73" spans="1:2" x14ac:dyDescent="0.25">
      <c r="A73" s="6" t="s">
        <v>27</v>
      </c>
      <c r="B73" s="6" t="s">
        <v>6</v>
      </c>
    </row>
    <row r="74" spans="1:2" x14ac:dyDescent="0.25">
      <c r="A74" s="6" t="s">
        <v>188</v>
      </c>
      <c r="B74" s="6" t="s">
        <v>12</v>
      </c>
    </row>
    <row r="75" spans="1:2" x14ac:dyDescent="0.25">
      <c r="A75" s="6" t="s">
        <v>20</v>
      </c>
      <c r="B75" s="6" t="s">
        <v>5</v>
      </c>
    </row>
    <row r="76" spans="1:2" x14ac:dyDescent="0.25">
      <c r="A76" s="6" t="s">
        <v>116</v>
      </c>
      <c r="B76" s="6" t="s">
        <v>10</v>
      </c>
    </row>
    <row r="77" spans="1:2" x14ac:dyDescent="0.25">
      <c r="A77" s="6" t="s">
        <v>59</v>
      </c>
      <c r="B77" s="6" t="s">
        <v>5</v>
      </c>
    </row>
    <row r="78" spans="1:2" x14ac:dyDescent="0.25">
      <c r="A78" s="6" t="s">
        <v>124</v>
      </c>
      <c r="B78" s="6" t="s">
        <v>12</v>
      </c>
    </row>
    <row r="79" spans="1:2" x14ac:dyDescent="0.25">
      <c r="A79" s="6" t="s">
        <v>91</v>
      </c>
      <c r="B79" s="6" t="s">
        <v>5</v>
      </c>
    </row>
    <row r="80" spans="1:2" x14ac:dyDescent="0.25">
      <c r="A80" s="6" t="s">
        <v>100</v>
      </c>
      <c r="B80" s="6" t="s">
        <v>5</v>
      </c>
    </row>
    <row r="81" spans="1:2" x14ac:dyDescent="0.25">
      <c r="A81" s="6" t="s">
        <v>183</v>
      </c>
      <c r="B81" s="6" t="s">
        <v>6</v>
      </c>
    </row>
    <row r="82" spans="1:2" x14ac:dyDescent="0.25">
      <c r="A82" s="6" t="s">
        <v>170</v>
      </c>
      <c r="B82" s="6" t="s">
        <v>15</v>
      </c>
    </row>
    <row r="83" spans="1:2" x14ac:dyDescent="0.25">
      <c r="A83" s="6" t="s">
        <v>28</v>
      </c>
      <c r="B83" s="6" t="s">
        <v>6</v>
      </c>
    </row>
    <row r="84" spans="1:2" x14ac:dyDescent="0.25">
      <c r="A84" s="6" t="s">
        <v>32</v>
      </c>
      <c r="B84" s="6" t="s">
        <v>10</v>
      </c>
    </row>
    <row r="85" spans="1:2" x14ac:dyDescent="0.25">
      <c r="A85" s="6" t="s">
        <v>196</v>
      </c>
      <c r="B85" s="6" t="s">
        <v>5</v>
      </c>
    </row>
    <row r="86" spans="1:2" x14ac:dyDescent="0.25">
      <c r="A86" s="6" t="s">
        <v>118</v>
      </c>
      <c r="B86" s="6" t="s">
        <v>15</v>
      </c>
    </row>
    <row r="87" spans="1:2" x14ac:dyDescent="0.25">
      <c r="A87" s="6" t="s">
        <v>90</v>
      </c>
      <c r="B87" s="6" t="s">
        <v>10</v>
      </c>
    </row>
    <row r="88" spans="1:2" x14ac:dyDescent="0.25">
      <c r="A88" s="6" t="s">
        <v>165</v>
      </c>
      <c r="B88" s="6" t="s">
        <v>5</v>
      </c>
    </row>
    <row r="89" spans="1:2" x14ac:dyDescent="0.25">
      <c r="A89" s="6" t="s">
        <v>185</v>
      </c>
      <c r="B89" s="6" t="s">
        <v>6</v>
      </c>
    </row>
    <row r="90" spans="1:2" x14ac:dyDescent="0.25">
      <c r="A90" s="6" t="s">
        <v>43</v>
      </c>
      <c r="B90" s="6" t="s">
        <v>5</v>
      </c>
    </row>
    <row r="91" spans="1:2" x14ac:dyDescent="0.25">
      <c r="A91" s="6" t="s">
        <v>134</v>
      </c>
      <c r="B91" s="6" t="s">
        <v>8</v>
      </c>
    </row>
    <row r="92" spans="1:2" x14ac:dyDescent="0.25">
      <c r="A92" s="6" t="s">
        <v>48</v>
      </c>
      <c r="B92" s="6" t="s">
        <v>6</v>
      </c>
    </row>
    <row r="93" spans="1:2" x14ac:dyDescent="0.25">
      <c r="A93" s="6" t="s">
        <v>173</v>
      </c>
      <c r="B93" s="6" t="s">
        <v>15</v>
      </c>
    </row>
    <row r="94" spans="1:2" x14ac:dyDescent="0.25">
      <c r="A94" s="6" t="s">
        <v>167</v>
      </c>
      <c r="B94" s="6" t="s">
        <v>8</v>
      </c>
    </row>
    <row r="95" spans="1:2" x14ac:dyDescent="0.25">
      <c r="A95" s="6" t="s">
        <v>36</v>
      </c>
      <c r="B95" s="6" t="s">
        <v>15</v>
      </c>
    </row>
    <row r="96" spans="1:2" x14ac:dyDescent="0.25">
      <c r="A96" s="6" t="s">
        <v>201</v>
      </c>
      <c r="B96" s="6" t="s">
        <v>8</v>
      </c>
    </row>
    <row r="97" spans="1:2" x14ac:dyDescent="0.25">
      <c r="A97" s="6" t="s">
        <v>190</v>
      </c>
      <c r="B97" s="6" t="s">
        <v>6</v>
      </c>
    </row>
    <row r="98" spans="1:2" x14ac:dyDescent="0.25">
      <c r="A98" s="6" t="s">
        <v>68</v>
      </c>
      <c r="B98" s="6" t="s">
        <v>6</v>
      </c>
    </row>
    <row r="99" spans="1:2" x14ac:dyDescent="0.25">
      <c r="A99" s="6" t="s">
        <v>64</v>
      </c>
      <c r="B99" s="6" t="s">
        <v>15</v>
      </c>
    </row>
    <row r="100" spans="1:2" x14ac:dyDescent="0.25">
      <c r="A100" s="6" t="s">
        <v>26</v>
      </c>
      <c r="B100" s="6" t="s">
        <v>6</v>
      </c>
    </row>
    <row r="101" spans="1:2" x14ac:dyDescent="0.25">
      <c r="A101" s="6" t="s">
        <v>33</v>
      </c>
      <c r="B101" s="6" t="s">
        <v>15</v>
      </c>
    </row>
    <row r="102" spans="1:2" x14ac:dyDescent="0.25">
      <c r="A102" s="6" t="s">
        <v>40</v>
      </c>
      <c r="B102" s="6" t="s">
        <v>8</v>
      </c>
    </row>
    <row r="103" spans="1:2" x14ac:dyDescent="0.25">
      <c r="A103" s="6" t="s">
        <v>169</v>
      </c>
      <c r="B103" s="6" t="s">
        <v>15</v>
      </c>
    </row>
    <row r="104" spans="1:2" x14ac:dyDescent="0.25">
      <c r="A104" s="6" t="s">
        <v>143</v>
      </c>
      <c r="B104" s="6" t="s">
        <v>15</v>
      </c>
    </row>
    <row r="105" spans="1:2" x14ac:dyDescent="0.25">
      <c r="A105" s="6" t="s">
        <v>47</v>
      </c>
      <c r="B105" s="6" t="s">
        <v>6</v>
      </c>
    </row>
    <row r="106" spans="1:2" x14ac:dyDescent="0.25">
      <c r="A106" s="6" t="s">
        <v>67</v>
      </c>
      <c r="B106" s="6" t="s">
        <v>10</v>
      </c>
    </row>
    <row r="107" spans="1:2" x14ac:dyDescent="0.25">
      <c r="A107" s="6" t="s">
        <v>78</v>
      </c>
      <c r="B107" s="6" t="s">
        <v>12</v>
      </c>
    </row>
    <row r="108" spans="1:2" x14ac:dyDescent="0.25">
      <c r="A108" s="6" t="s">
        <v>184</v>
      </c>
      <c r="B108" s="6" t="s">
        <v>5</v>
      </c>
    </row>
    <row r="109" spans="1:2" x14ac:dyDescent="0.25">
      <c r="A109" s="6" t="s">
        <v>81</v>
      </c>
      <c r="B109" s="6" t="s">
        <v>15</v>
      </c>
    </row>
    <row r="110" spans="1:2" x14ac:dyDescent="0.25">
      <c r="A110" s="6" t="s">
        <v>101</v>
      </c>
      <c r="B110" s="6" t="s">
        <v>12</v>
      </c>
    </row>
    <row r="111" spans="1:2" x14ac:dyDescent="0.25">
      <c r="A111" s="6" t="s">
        <v>61</v>
      </c>
      <c r="B111" s="6" t="s">
        <v>12</v>
      </c>
    </row>
    <row r="112" spans="1:2" x14ac:dyDescent="0.25">
      <c r="A112" s="6" t="s">
        <v>135</v>
      </c>
      <c r="B112" s="6" t="s">
        <v>15</v>
      </c>
    </row>
    <row r="113" spans="1:2" x14ac:dyDescent="0.25">
      <c r="A113" s="6" t="s">
        <v>199</v>
      </c>
      <c r="B113" s="6" t="s">
        <v>10</v>
      </c>
    </row>
    <row r="114" spans="1:2" x14ac:dyDescent="0.25">
      <c r="A114" s="6" t="s">
        <v>191</v>
      </c>
      <c r="B114" s="6" t="s">
        <v>10</v>
      </c>
    </row>
    <row r="115" spans="1:2" x14ac:dyDescent="0.25">
      <c r="A115" s="6" t="s">
        <v>13</v>
      </c>
      <c r="B115" s="6" t="s">
        <v>12</v>
      </c>
    </row>
    <row r="116" spans="1:2" x14ac:dyDescent="0.25">
      <c r="A116" s="6" t="s">
        <v>151</v>
      </c>
      <c r="B116" s="6" t="s">
        <v>12</v>
      </c>
    </row>
    <row r="117" spans="1:2" x14ac:dyDescent="0.25">
      <c r="A117" s="6" t="s">
        <v>178</v>
      </c>
      <c r="B117" s="6" t="s">
        <v>12</v>
      </c>
    </row>
    <row r="118" spans="1:2" x14ac:dyDescent="0.25">
      <c r="A118" s="6" t="s">
        <v>53</v>
      </c>
      <c r="B118" s="6" t="s">
        <v>10</v>
      </c>
    </row>
    <row r="119" spans="1:2" x14ac:dyDescent="0.25">
      <c r="A119" s="6" t="s">
        <v>11</v>
      </c>
      <c r="B119" s="6" t="s">
        <v>10</v>
      </c>
    </row>
    <row r="120" spans="1:2" x14ac:dyDescent="0.25">
      <c r="A120" s="6" t="s">
        <v>166</v>
      </c>
      <c r="B120" s="6" t="s">
        <v>6</v>
      </c>
    </row>
    <row r="121" spans="1:2" x14ac:dyDescent="0.25">
      <c r="A121" s="6" t="s">
        <v>144</v>
      </c>
      <c r="B121" s="6" t="s">
        <v>6</v>
      </c>
    </row>
    <row r="122" spans="1:2" x14ac:dyDescent="0.25">
      <c r="A122" s="6" t="s">
        <v>38</v>
      </c>
      <c r="B122" s="6" t="s">
        <v>12</v>
      </c>
    </row>
    <row r="123" spans="1:2" x14ac:dyDescent="0.25">
      <c r="A123" s="6" t="s">
        <v>172</v>
      </c>
      <c r="B123" s="6" t="s">
        <v>12</v>
      </c>
    </row>
    <row r="124" spans="1:2" x14ac:dyDescent="0.25">
      <c r="A124" s="6" t="s">
        <v>123</v>
      </c>
      <c r="B124" s="6" t="s">
        <v>6</v>
      </c>
    </row>
    <row r="125" spans="1:2" x14ac:dyDescent="0.25">
      <c r="A125" s="6" t="s">
        <v>150</v>
      </c>
      <c r="B125" s="6" t="s">
        <v>10</v>
      </c>
    </row>
    <row r="126" spans="1:2" x14ac:dyDescent="0.25">
      <c r="A126" s="6" t="s">
        <v>122</v>
      </c>
      <c r="B126" s="6" t="s">
        <v>15</v>
      </c>
    </row>
    <row r="127" spans="1:2" x14ac:dyDescent="0.25">
      <c r="A127" s="6" t="s">
        <v>83</v>
      </c>
      <c r="B127" s="6" t="s">
        <v>12</v>
      </c>
    </row>
    <row r="128" spans="1:2" x14ac:dyDescent="0.25">
      <c r="A128" s="6" t="s">
        <v>127</v>
      </c>
      <c r="B128" s="6" t="s">
        <v>10</v>
      </c>
    </row>
    <row r="129" spans="1:2" x14ac:dyDescent="0.25">
      <c r="A129" s="6" t="s">
        <v>182</v>
      </c>
      <c r="B129" s="6" t="s">
        <v>5</v>
      </c>
    </row>
    <row r="130" spans="1:2" x14ac:dyDescent="0.25">
      <c r="A130" s="6" t="s">
        <v>34</v>
      </c>
      <c r="B130" s="6" t="s">
        <v>10</v>
      </c>
    </row>
    <row r="131" spans="1:2" x14ac:dyDescent="0.25">
      <c r="A131" s="6" t="s">
        <v>21</v>
      </c>
      <c r="B131" s="6" t="s">
        <v>12</v>
      </c>
    </row>
    <row r="132" spans="1:2" x14ac:dyDescent="0.25">
      <c r="A132" s="6" t="s">
        <v>23</v>
      </c>
      <c r="B132" s="6" t="s">
        <v>12</v>
      </c>
    </row>
    <row r="133" spans="1:2" x14ac:dyDescent="0.25">
      <c r="A133" s="6" t="s">
        <v>114</v>
      </c>
      <c r="B133" s="6" t="s">
        <v>15</v>
      </c>
    </row>
    <row r="134" spans="1:2" x14ac:dyDescent="0.25">
      <c r="A134" s="6" t="s">
        <v>17</v>
      </c>
      <c r="B134" s="6" t="s">
        <v>10</v>
      </c>
    </row>
    <row r="135" spans="1:2" x14ac:dyDescent="0.25">
      <c r="A135" s="6" t="s">
        <v>193</v>
      </c>
      <c r="B135" s="6" t="s">
        <v>10</v>
      </c>
    </row>
    <row r="136" spans="1:2" x14ac:dyDescent="0.25">
      <c r="A136" s="6" t="s">
        <v>115</v>
      </c>
      <c r="B136" s="6" t="s">
        <v>15</v>
      </c>
    </row>
    <row r="137" spans="1:2" x14ac:dyDescent="0.25">
      <c r="A137" s="6" t="s">
        <v>109</v>
      </c>
      <c r="B137" s="6" t="s">
        <v>6</v>
      </c>
    </row>
    <row r="138" spans="1:2" x14ac:dyDescent="0.25">
      <c r="A138" s="6" t="s">
        <v>73</v>
      </c>
      <c r="B138" s="6" t="s">
        <v>5</v>
      </c>
    </row>
    <row r="139" spans="1:2" x14ac:dyDescent="0.25">
      <c r="A139" s="6" t="s">
        <v>19</v>
      </c>
      <c r="B139" s="6" t="s">
        <v>15</v>
      </c>
    </row>
    <row r="140" spans="1:2" x14ac:dyDescent="0.25">
      <c r="A140" s="6" t="s">
        <v>141</v>
      </c>
      <c r="B140" s="6" t="s">
        <v>12</v>
      </c>
    </row>
    <row r="141" spans="1:2" x14ac:dyDescent="0.25">
      <c r="A141" s="6" t="s">
        <v>31</v>
      </c>
      <c r="B141" s="6" t="s">
        <v>5</v>
      </c>
    </row>
    <row r="142" spans="1:2" x14ac:dyDescent="0.25">
      <c r="A142" s="6" t="s">
        <v>171</v>
      </c>
      <c r="B142" s="6" t="s">
        <v>10</v>
      </c>
    </row>
    <row r="143" spans="1:2" x14ac:dyDescent="0.25">
      <c r="A143" s="6" t="s">
        <v>160</v>
      </c>
      <c r="B143" s="6" t="s">
        <v>8</v>
      </c>
    </row>
    <row r="144" spans="1:2" x14ac:dyDescent="0.25">
      <c r="A144" s="6" t="s">
        <v>54</v>
      </c>
      <c r="B144" s="6" t="s">
        <v>15</v>
      </c>
    </row>
    <row r="145" spans="1:2" x14ac:dyDescent="0.25">
      <c r="A145" s="6" t="s">
        <v>107</v>
      </c>
      <c r="B145" s="6" t="s">
        <v>12</v>
      </c>
    </row>
    <row r="146" spans="1:2" x14ac:dyDescent="0.25">
      <c r="A146" s="6" t="s">
        <v>158</v>
      </c>
      <c r="B146" s="6" t="s">
        <v>8</v>
      </c>
    </row>
    <row r="147" spans="1:2" x14ac:dyDescent="0.25">
      <c r="A147" s="6" t="s">
        <v>113</v>
      </c>
      <c r="B147" s="6" t="s">
        <v>8</v>
      </c>
    </row>
    <row r="148" spans="1:2" x14ac:dyDescent="0.25">
      <c r="A148" s="6" t="s">
        <v>139</v>
      </c>
      <c r="B148" s="6" t="s">
        <v>12</v>
      </c>
    </row>
    <row r="149" spans="1:2" x14ac:dyDescent="0.25">
      <c r="A149" s="6" t="s">
        <v>126</v>
      </c>
      <c r="B149" s="6" t="s">
        <v>12</v>
      </c>
    </row>
    <row r="150" spans="1:2" x14ac:dyDescent="0.25">
      <c r="A150" s="6" t="s">
        <v>145</v>
      </c>
      <c r="B150" s="6" t="s">
        <v>15</v>
      </c>
    </row>
    <row r="151" spans="1:2" x14ac:dyDescent="0.25">
      <c r="A151" s="6" t="s">
        <v>181</v>
      </c>
      <c r="B151" s="6" t="s">
        <v>15</v>
      </c>
    </row>
    <row r="152" spans="1:2" x14ac:dyDescent="0.25">
      <c r="A152" s="6" t="s">
        <v>89</v>
      </c>
      <c r="B152" s="6" t="s">
        <v>10</v>
      </c>
    </row>
    <row r="153" spans="1:2" x14ac:dyDescent="0.25">
      <c r="A153" s="6" t="s">
        <v>93</v>
      </c>
      <c r="B153" s="6" t="s">
        <v>8</v>
      </c>
    </row>
    <row r="154" spans="1:2" x14ac:dyDescent="0.25">
      <c r="A154" s="6" t="s">
        <v>56</v>
      </c>
      <c r="B154" s="6" t="s">
        <v>12</v>
      </c>
    </row>
    <row r="155" spans="1:2" x14ac:dyDescent="0.25">
      <c r="A155" s="6" t="s">
        <v>87</v>
      </c>
      <c r="B155" s="6" t="s">
        <v>8</v>
      </c>
    </row>
    <row r="156" spans="1:2" x14ac:dyDescent="0.25">
      <c r="A156" s="6" t="s">
        <v>96</v>
      </c>
      <c r="B156" s="6" t="s">
        <v>15</v>
      </c>
    </row>
    <row r="157" spans="1:2" x14ac:dyDescent="0.25">
      <c r="A157" s="6" t="s">
        <v>60</v>
      </c>
      <c r="B157" s="6" t="s">
        <v>8</v>
      </c>
    </row>
    <row r="158" spans="1:2" x14ac:dyDescent="0.25">
      <c r="A158" s="6" t="s">
        <v>162</v>
      </c>
      <c r="B158" s="6" t="s">
        <v>6</v>
      </c>
    </row>
    <row r="159" spans="1:2" x14ac:dyDescent="0.25">
      <c r="A159" s="6" t="s">
        <v>140</v>
      </c>
      <c r="B159" s="6" t="s">
        <v>8</v>
      </c>
    </row>
    <row r="160" spans="1:2" x14ac:dyDescent="0.25">
      <c r="A160" s="6" t="s">
        <v>161</v>
      </c>
      <c r="B160" s="6" t="s">
        <v>15</v>
      </c>
    </row>
    <row r="161" spans="1:2" x14ac:dyDescent="0.25">
      <c r="A161" s="6" t="s">
        <v>79</v>
      </c>
      <c r="B161" s="6" t="s">
        <v>15</v>
      </c>
    </row>
    <row r="162" spans="1:2" x14ac:dyDescent="0.25">
      <c r="A162" s="6" t="s">
        <v>120</v>
      </c>
      <c r="B162" s="6" t="s">
        <v>15</v>
      </c>
    </row>
    <row r="163" spans="1:2" x14ac:dyDescent="0.25">
      <c r="A163" s="6" t="s">
        <v>137</v>
      </c>
      <c r="B163" s="6" t="s">
        <v>5</v>
      </c>
    </row>
    <row r="164" spans="1:2" x14ac:dyDescent="0.25">
      <c r="A164" s="6" t="s">
        <v>156</v>
      </c>
      <c r="B164" s="6" t="s">
        <v>15</v>
      </c>
    </row>
    <row r="165" spans="1:2" x14ac:dyDescent="0.25">
      <c r="A165" s="6" t="s">
        <v>55</v>
      </c>
      <c r="B165" s="6" t="s">
        <v>6</v>
      </c>
    </row>
    <row r="166" spans="1:2" x14ac:dyDescent="0.25">
      <c r="A166" s="6" t="s">
        <v>80</v>
      </c>
      <c r="B166" s="6" t="s">
        <v>8</v>
      </c>
    </row>
    <row r="167" spans="1:2" x14ac:dyDescent="0.25">
      <c r="A167" s="6" t="s">
        <v>104</v>
      </c>
      <c r="B167" s="6" t="s">
        <v>10</v>
      </c>
    </row>
    <row r="168" spans="1:2" x14ac:dyDescent="0.25">
      <c r="A168" s="6" t="s">
        <v>177</v>
      </c>
      <c r="B168" s="6" t="s">
        <v>12</v>
      </c>
    </row>
    <row r="169" spans="1:2" x14ac:dyDescent="0.25">
      <c r="A169" s="6" t="s">
        <v>194</v>
      </c>
      <c r="B169" s="6" t="s">
        <v>5</v>
      </c>
    </row>
    <row r="170" spans="1:2" x14ac:dyDescent="0.25">
      <c r="A170" s="6" t="s">
        <v>138</v>
      </c>
      <c r="B170" s="6" t="s">
        <v>8</v>
      </c>
    </row>
    <row r="171" spans="1:2" x14ac:dyDescent="0.25">
      <c r="A171" s="6" t="s">
        <v>16</v>
      </c>
      <c r="B171" s="6" t="s">
        <v>15</v>
      </c>
    </row>
    <row r="172" spans="1:2" x14ac:dyDescent="0.25">
      <c r="A172" s="6" t="s">
        <v>99</v>
      </c>
      <c r="B172" s="6" t="s">
        <v>10</v>
      </c>
    </row>
    <row r="173" spans="1:2" x14ac:dyDescent="0.25">
      <c r="A173" s="6" t="s">
        <v>29</v>
      </c>
      <c r="B173" s="6" t="s">
        <v>5</v>
      </c>
    </row>
    <row r="174" spans="1:2" x14ac:dyDescent="0.25">
      <c r="A174" s="6" t="s">
        <v>153</v>
      </c>
      <c r="B174" s="6" t="s">
        <v>12</v>
      </c>
    </row>
    <row r="175" spans="1:2" x14ac:dyDescent="0.25">
      <c r="A175" s="6" t="s">
        <v>132</v>
      </c>
      <c r="B175" s="6" t="s">
        <v>15</v>
      </c>
    </row>
    <row r="176" spans="1:2" x14ac:dyDescent="0.25">
      <c r="A176" s="6" t="s">
        <v>176</v>
      </c>
      <c r="B176" s="6" t="s">
        <v>15</v>
      </c>
    </row>
    <row r="177" spans="1:2" x14ac:dyDescent="0.25">
      <c r="A177" s="6" t="s">
        <v>125</v>
      </c>
      <c r="B177" s="6" t="s">
        <v>10</v>
      </c>
    </row>
    <row r="178" spans="1:2" x14ac:dyDescent="0.25">
      <c r="A178" s="6" t="s">
        <v>58</v>
      </c>
      <c r="B178" s="6" t="s">
        <v>15</v>
      </c>
    </row>
    <row r="179" spans="1:2" x14ac:dyDescent="0.25">
      <c r="A179" s="6" t="s">
        <v>157</v>
      </c>
      <c r="B179" s="6" t="s">
        <v>6</v>
      </c>
    </row>
    <row r="180" spans="1:2" x14ac:dyDescent="0.25">
      <c r="A180" s="6" t="s">
        <v>179</v>
      </c>
      <c r="B180" s="6" t="s">
        <v>12</v>
      </c>
    </row>
    <row r="181" spans="1:2" x14ac:dyDescent="0.25">
      <c r="A181" s="6" t="s">
        <v>148</v>
      </c>
      <c r="B181" s="6" t="s">
        <v>12</v>
      </c>
    </row>
    <row r="182" spans="1:2" x14ac:dyDescent="0.25">
      <c r="A182" s="6" t="s">
        <v>76</v>
      </c>
      <c r="B182" s="6" t="s">
        <v>8</v>
      </c>
    </row>
    <row r="183" spans="1:2" x14ac:dyDescent="0.25">
      <c r="A183" s="6" t="s">
        <v>119</v>
      </c>
      <c r="B183" s="6" t="s">
        <v>5</v>
      </c>
    </row>
    <row r="184" spans="1:2" x14ac:dyDescent="0.25">
      <c r="A184" s="6" t="s">
        <v>129</v>
      </c>
      <c r="B184" s="6" t="s">
        <v>15</v>
      </c>
    </row>
    <row r="185" spans="1:2" x14ac:dyDescent="0.25">
      <c r="A185" s="6" t="s">
        <v>82</v>
      </c>
      <c r="B185" s="6" t="s">
        <v>10</v>
      </c>
    </row>
    <row r="186" spans="1:2" x14ac:dyDescent="0.25">
      <c r="A186" s="6" t="s">
        <v>163</v>
      </c>
      <c r="B186" s="6" t="s">
        <v>10</v>
      </c>
    </row>
    <row r="187" spans="1:2" x14ac:dyDescent="0.25">
      <c r="A187" s="6" t="s">
        <v>195</v>
      </c>
      <c r="B187" s="6" t="s">
        <v>15</v>
      </c>
    </row>
    <row r="188" spans="1:2" x14ac:dyDescent="0.25">
      <c r="A188" s="6" t="s">
        <v>152</v>
      </c>
      <c r="B188" s="6" t="s">
        <v>10</v>
      </c>
    </row>
    <row r="189" spans="1:2" x14ac:dyDescent="0.25">
      <c r="A189" s="6" t="s">
        <v>192</v>
      </c>
      <c r="B189" s="6" t="s">
        <v>8</v>
      </c>
    </row>
    <row r="190" spans="1:2" x14ac:dyDescent="0.25">
      <c r="A190" s="6" t="s">
        <v>197</v>
      </c>
      <c r="B190" s="6" t="s">
        <v>10</v>
      </c>
    </row>
    <row r="191" spans="1:2" x14ac:dyDescent="0.25">
      <c r="A191" s="6" t="s">
        <v>65</v>
      </c>
      <c r="B191" s="6" t="s">
        <v>5</v>
      </c>
    </row>
    <row r="192" spans="1:2" x14ac:dyDescent="0.25">
      <c r="A192" s="6" t="s">
        <v>103</v>
      </c>
      <c r="B192" s="6" t="s">
        <v>8</v>
      </c>
    </row>
    <row r="193" spans="1:2" x14ac:dyDescent="0.25">
      <c r="A193" s="6" t="s">
        <v>84</v>
      </c>
      <c r="B193" s="6" t="s">
        <v>12</v>
      </c>
    </row>
    <row r="194" spans="1:2" x14ac:dyDescent="0.25">
      <c r="A194" s="6" t="s">
        <v>175</v>
      </c>
      <c r="B194" s="6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Resposta</vt:lpstr>
      <vt:lpstr>Desenvolvimento</vt:lpstr>
      <vt:lpstr>País - Continente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 Nascimento</cp:lastModifiedBy>
  <dcterms:created xsi:type="dcterms:W3CDTF">2025-10-31T18:24:55Z</dcterms:created>
  <dcterms:modified xsi:type="dcterms:W3CDTF">2025-10-31T18:58:13Z</dcterms:modified>
</cp:coreProperties>
</file>